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TechSupport\Documents\OBQAAutoComputeInstruments\Checked\Jimson\MasterSurveyInstrument\"/>
    </mc:Choice>
  </mc:AlternateContent>
  <xr:revisionPtr revIDLastSave="0" documentId="13_ncr:1_{D5E67E97-86C2-40B5-93C9-899F03E12D0E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Area" sheetId="1" r:id="rId1"/>
    <sheet name="Descriptive Rating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8" i="1" l="1"/>
  <c r="E127" i="1"/>
  <c r="F90" i="1"/>
  <c r="G85" i="1" s="1"/>
  <c r="H109" i="1" l="1"/>
  <c r="H112" i="1" l="1"/>
  <c r="H98" i="1"/>
  <c r="H70" i="1"/>
  <c r="H55" i="1"/>
  <c r="H67" i="1" l="1"/>
  <c r="H95" i="1" l="1"/>
  <c r="H62" i="1" l="1"/>
  <c r="H77" i="1" l="1"/>
  <c r="H52" i="1"/>
  <c r="H37" i="1"/>
  <c r="I71" i="1" l="1"/>
  <c r="E125" i="1"/>
  <c r="G125" i="1" s="1"/>
  <c r="I99" i="1"/>
  <c r="E124" i="1"/>
  <c r="G124" i="1" s="1"/>
  <c r="E123" i="1"/>
  <c r="G123" i="1" s="1"/>
  <c r="I56" i="1"/>
  <c r="H106" i="1" l="1"/>
  <c r="E126" i="1" l="1"/>
  <c r="I113" i="1"/>
  <c r="H114" i="1" s="1"/>
  <c r="G126" i="1" l="1"/>
  <c r="G128" i="1"/>
</calcChain>
</file>

<file path=xl/sharedStrings.xml><?xml version="1.0" encoding="utf-8"?>
<sst xmlns="http://schemas.openxmlformats.org/spreadsheetml/2006/main" count="162" uniqueCount="123">
  <si>
    <t>PARAMETERS</t>
  </si>
  <si>
    <t>A.</t>
  </si>
  <si>
    <t>B.</t>
  </si>
  <si>
    <t>Program:</t>
  </si>
  <si>
    <t>SUC:</t>
  </si>
  <si>
    <t>Campus:</t>
  </si>
  <si>
    <t>Date of Actual Survey:</t>
  </si>
  <si>
    <t>Indicators</t>
  </si>
  <si>
    <t>Item Rating (IR)</t>
  </si>
  <si>
    <t>System – Implementation – Outcome  Mean (SIOM)</t>
  </si>
  <si>
    <t>Parameter Mean (PM)</t>
  </si>
  <si>
    <t>SYSTEM – INPUTS AND PROCESSES</t>
  </si>
  <si>
    <t>S.1</t>
  </si>
  <si>
    <t>S.2</t>
  </si>
  <si>
    <t>S.3</t>
  </si>
  <si>
    <t>S.4</t>
  </si>
  <si>
    <t>S.5</t>
  </si>
  <si>
    <t>IMPLEMENTATION</t>
  </si>
  <si>
    <t>I.1</t>
  </si>
  <si>
    <t>I.2</t>
  </si>
  <si>
    <t>I.3</t>
  </si>
  <si>
    <t>OUTCOME/S</t>
  </si>
  <si>
    <t>O.1</t>
  </si>
  <si>
    <t>I.4</t>
  </si>
  <si>
    <t>I.5</t>
  </si>
  <si>
    <t>Area Mean:</t>
  </si>
  <si>
    <t>SUMMARY OF RATINGS</t>
  </si>
  <si>
    <t>Numerical Rating</t>
  </si>
  <si>
    <t>Parameters</t>
  </si>
  <si>
    <t xml:space="preserve">Descriptive Rating </t>
  </si>
  <si>
    <t>Scale</t>
  </si>
  <si>
    <t>Range</t>
  </si>
  <si>
    <t>Descriptive Rating</t>
  </si>
  <si>
    <t>Poor</t>
  </si>
  <si>
    <t>Fair</t>
  </si>
  <si>
    <t>Satisfactory</t>
  </si>
  <si>
    <t>Very Satisfactory</t>
  </si>
  <si>
    <t>Excellent</t>
  </si>
  <si>
    <t>C.</t>
  </si>
  <si>
    <t>D.</t>
  </si>
  <si>
    <t>I.6</t>
  </si>
  <si>
    <t>S.6</t>
  </si>
  <si>
    <t>Level</t>
  </si>
  <si>
    <t>Laboratories, Shops/Facilities</t>
  </si>
  <si>
    <t>Equipment and Supplies</t>
  </si>
  <si>
    <t>Maintenance</t>
  </si>
  <si>
    <t xml:space="preserve">Special Provisions </t>
  </si>
  <si>
    <t>PARAMETER A: LABORATORIES, SHOPS/FACILITIES</t>
  </si>
  <si>
    <t>Room lightings conform to the standard requirements of fluorescent bulbs relative to the size of the room.</t>
  </si>
  <si>
    <t>The laboratories are properly lighted and well-ventilated.</t>
  </si>
  <si>
    <t>Each laboratory room has at least two exit doors that open outward.</t>
  </si>
  <si>
    <t>Furniture/equipment arrangement allows free mobility and enables students to work comfortably without interference from others.</t>
  </si>
  <si>
    <t>Safety and precautionary measures are provided, and implemented.</t>
  </si>
  <si>
    <t>Usable fire extinguishers are accessible to staff and students.</t>
  </si>
  <si>
    <t>Laboratory Operation Manuals for the faculty and students are provided in each laboratory.</t>
  </si>
  <si>
    <t>Demonstration and training on the proper use of fire extinguishers, first-aid kit and other emergency measures are periodically conducted.</t>
  </si>
  <si>
    <t>A well-equipped first-aid kit, charts for antidotes and neutralizing solutions are always available in each laboratory room.</t>
  </si>
  <si>
    <t>I.7</t>
  </si>
  <si>
    <t>I.8</t>
  </si>
  <si>
    <t>I.9</t>
  </si>
  <si>
    <t>I.10</t>
  </si>
  <si>
    <t>I.11</t>
  </si>
  <si>
    <t>I.12</t>
  </si>
  <si>
    <t>A well-equipped Multimedia Center is maintained.</t>
  </si>
  <si>
    <t>Gas, water and electricity are utilized for class laboratory activities.</t>
  </si>
  <si>
    <t>A demonstration table, equipped with sink, water, electrical and gas outlets, is utilized for science laboratories.</t>
  </si>
  <si>
    <t>Laboratory equipment, supplies and materials are kept in separate stock rooms.</t>
  </si>
  <si>
    <t xml:space="preserve">The laboratories and shops are well-equipped, functional and conducive to learning. </t>
  </si>
  <si>
    <t>PARAMETER B: EQUIPMENT AND SUPPLIES</t>
  </si>
  <si>
    <t>The equipment, instruments, supplies and materials in the classrooms are available in the laboratories and shops.</t>
  </si>
  <si>
    <t xml:space="preserve">Apparatuses, tools and materials conform with the standard required for the subject in accordance with the CMO of the program. </t>
  </si>
  <si>
    <t>Varied computer software are available.</t>
  </si>
  <si>
    <t xml:space="preserve"> Equipment are properly calibrated and well-maintained.</t>
  </si>
  <si>
    <t>Laboratory equipment, supplies and materials  are wisely utilized.</t>
  </si>
  <si>
    <t xml:space="preserve">
Licensed computer software are installed and utilized.
</t>
  </si>
  <si>
    <t>PARAMETER C: MAINTENANCE</t>
  </si>
  <si>
    <t>A skilled laboratory technician/assistant is available for the proper upkeep of the laboratory.</t>
  </si>
  <si>
    <t>The institution keeps the laboratories neat, clean and orderly.</t>
  </si>
  <si>
    <t>The inventory of laboratory facilities/equipment is systematically and periodically conducted.</t>
  </si>
  <si>
    <t>The laboratory equipment/instruments are in good condition and are periodically calibrated.</t>
  </si>
  <si>
    <t>Waste disposal is effectively and effectively managed.</t>
  </si>
  <si>
    <t>The following are properly maintained by trained staff/technicians:</t>
  </si>
  <si>
    <t>computer laboratory;</t>
  </si>
  <si>
    <t>multi-media center/educational technology center;</t>
  </si>
  <si>
    <t>research facility;</t>
  </si>
  <si>
    <t>general education laboratory; and</t>
  </si>
  <si>
    <t>The laboratories and shops are functional and properly maintained.</t>
  </si>
  <si>
    <t>PARAMETER D: SPECIAL PROVISIONS</t>
  </si>
  <si>
    <t xml:space="preserve">Specific program requirements for each of the laboratory subjects are  in accordance with guidelines/policies embodied in CMO. </t>
  </si>
  <si>
    <t>There is an approved Annual Procurement Plan (APP) for laboratory equipment, supplies and materials.</t>
  </si>
  <si>
    <t>The Institution implements the special provisions as listed in the CMO.</t>
  </si>
  <si>
    <t>NA</t>
  </si>
  <si>
    <t>Area Mean</t>
  </si>
  <si>
    <t>AREA IX</t>
  </si>
  <si>
    <t>LABORATORIES</t>
  </si>
  <si>
    <t>The laboratory equipment ,supplies and materials are sufficient  and wisely utilized.</t>
  </si>
  <si>
    <t>The special provisions in CMO of the program are complied with.</t>
  </si>
  <si>
    <t>A student’s access to a computer is at least 15 hours per hours/semester/ subject.</t>
  </si>
  <si>
    <t>Laboratory supplies and materials are regular replenishment/replaced whenever applicable.</t>
  </si>
  <si>
    <t>All equipment are coded, listed and inventoried.</t>
  </si>
  <si>
    <t>I.7.1</t>
  </si>
  <si>
    <t>I.7.2</t>
  </si>
  <si>
    <t>I.7.3</t>
  </si>
  <si>
    <t>I.7.4</t>
  </si>
  <si>
    <t>natural science/physical science</t>
  </si>
  <si>
    <t>speech laboratory; and</t>
  </si>
  <si>
    <t xml:space="preserve">others (please specify) </t>
  </si>
  <si>
    <t>LEAD ACCREDITOR/S</t>
  </si>
  <si>
    <t>Appropriate laboratories for general education subjects are adequately equipped and well-maintained .</t>
  </si>
  <si>
    <t>There is a laboratory for shop work for specific technologies.</t>
  </si>
  <si>
    <t>There is a computer laboratory with at least 15 usable computer units and a printer.</t>
  </si>
  <si>
    <t>The laboratory layout conforms with acceptable standards (RA 6541 National Building Code of the Philippines/PD 856 “Code of Sanitation of the Philippines) and to particular needs of the program.</t>
  </si>
  <si>
    <t>The Institution has a Maintenance and Repair Department/Unit managed by skilled personnel who provide services on direct call.</t>
  </si>
  <si>
    <t>shops;</t>
  </si>
  <si>
    <t>I.7.5</t>
  </si>
  <si>
    <t>I.7.5.1</t>
  </si>
  <si>
    <t>I.7.5.2</t>
  </si>
  <si>
    <t>I.7.5.3</t>
  </si>
  <si>
    <t>I.7.6.</t>
  </si>
  <si>
    <t>There is an approved Project Procurement Management Plan (PPMP).</t>
  </si>
  <si>
    <t>S.7</t>
  </si>
  <si>
    <t>A laboratory space of 2 sq.m. per student with a total area of 70 sq.m. is provided</t>
  </si>
  <si>
    <t>physical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</si>
</sst>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3" fillId="0" borderId="0" xfId="0" applyFont="1" applyFill="1" applyAlignment="1">
      <alignment horizontal="justify" vertical="center"/>
    </xf>
    <xf numFmtId="0" fontId="3" fillId="0" borderId="0" xfId="0" applyFont="1" applyFill="1" applyBorder="1" applyAlignment="1">
      <alignment horizontal="justify" vertical="center"/>
    </xf>
    <xf numFmtId="2" fontId="3" fillId="0" borderId="0" xfId="0" applyNumberFormat="1" applyFont="1" applyFill="1" applyBorder="1" applyAlignment="1">
      <alignment horizontal="justify" vertical="center"/>
    </xf>
    <xf numFmtId="2" fontId="3" fillId="2" borderId="3" xfId="0" applyNumberFormat="1" applyFont="1" applyFill="1" applyBorder="1" applyAlignment="1" applyProtection="1">
      <alignment horizontal="justify" vertical="center"/>
      <protection locked="0"/>
    </xf>
    <xf numFmtId="0" fontId="3" fillId="0" borderId="7" xfId="0" applyFont="1" applyFill="1" applyBorder="1" applyAlignment="1">
      <alignment horizontal="justify" vertical="center"/>
    </xf>
    <xf numFmtId="0" fontId="3" fillId="0" borderId="4" xfId="0" applyFont="1" applyFill="1" applyBorder="1" applyAlignment="1">
      <alignment horizontal="justify" vertical="center"/>
    </xf>
    <xf numFmtId="2" fontId="3" fillId="0" borderId="0" xfId="0" applyNumberFormat="1" applyFont="1" applyFill="1" applyBorder="1" applyAlignment="1" applyProtection="1">
      <alignment horizontal="justify" vertical="center"/>
      <protection locked="0"/>
    </xf>
    <xf numFmtId="0" fontId="0" fillId="0" borderId="3" xfId="0" applyBorder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3" fillId="0" borderId="3" xfId="0" applyFont="1" applyFill="1" applyBorder="1" applyAlignment="1">
      <alignment horizontal="justify" vertical="center"/>
    </xf>
    <xf numFmtId="0" fontId="8" fillId="0" borderId="0" xfId="0" applyFont="1" applyFill="1" applyAlignment="1">
      <alignment horizontal="center" vertical="center"/>
    </xf>
    <xf numFmtId="0" fontId="2" fillId="0" borderId="8" xfId="0" applyFont="1" applyFill="1" applyBorder="1" applyAlignment="1"/>
    <xf numFmtId="0" fontId="2" fillId="0" borderId="12" xfId="0" applyFont="1" applyFill="1" applyBorder="1" applyAlignment="1"/>
    <xf numFmtId="2" fontId="3" fillId="0" borderId="10" xfId="0" applyNumberFormat="1" applyFont="1" applyFill="1" applyBorder="1" applyAlignment="1">
      <alignment horizontal="justify" vertical="center"/>
    </xf>
    <xf numFmtId="0" fontId="2" fillId="0" borderId="8" xfId="0" applyFont="1" applyFill="1" applyBorder="1" applyAlignment="1">
      <alignment vertical="center"/>
    </xf>
    <xf numFmtId="2" fontId="3" fillId="2" borderId="3" xfId="0" applyNumberFormat="1" applyFont="1" applyFill="1" applyBorder="1" applyAlignment="1" applyProtection="1">
      <alignment horizontal="justify" vertical="center"/>
    </xf>
    <xf numFmtId="0" fontId="3" fillId="0" borderId="6" xfId="0" applyFont="1" applyFill="1" applyBorder="1" applyAlignment="1">
      <alignment horizontal="justify" vertical="center"/>
    </xf>
    <xf numFmtId="0" fontId="3" fillId="0" borderId="1" xfId="0" applyFont="1" applyFill="1" applyBorder="1" applyAlignment="1">
      <alignment horizontal="justify" vertical="center"/>
    </xf>
    <xf numFmtId="2" fontId="3" fillId="0" borderId="7" xfId="0" applyNumberFormat="1" applyFont="1" applyFill="1" applyBorder="1" applyAlignment="1" applyProtection="1">
      <alignment horizontal="justify" vertical="center"/>
    </xf>
    <xf numFmtId="0" fontId="0" fillId="0" borderId="0" xfId="0" applyFont="1" applyFill="1" applyAlignment="1">
      <alignment horizontal="justify" vertical="center"/>
    </xf>
    <xf numFmtId="0" fontId="0" fillId="0" borderId="0" xfId="0" applyFont="1" applyFill="1" applyBorder="1" applyAlignment="1">
      <alignment horizontal="justify" vertical="center"/>
    </xf>
    <xf numFmtId="0" fontId="2" fillId="0" borderId="15" xfId="0" applyFont="1" applyFill="1" applyBorder="1" applyAlignment="1">
      <alignment vertical="center"/>
    </xf>
    <xf numFmtId="0" fontId="3" fillId="0" borderId="15" xfId="0" applyFont="1" applyFill="1" applyBorder="1" applyAlignment="1">
      <alignment horizontal="justify" vertical="center"/>
    </xf>
    <xf numFmtId="0" fontId="2" fillId="0" borderId="7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horizontal="justify" vertical="center"/>
    </xf>
    <xf numFmtId="0" fontId="2" fillId="0" borderId="7" xfId="0" applyFont="1" applyFill="1" applyBorder="1" applyAlignment="1">
      <alignment vertical="center" wrapText="1"/>
    </xf>
    <xf numFmtId="0" fontId="3" fillId="0" borderId="13" xfId="0" applyFont="1" applyFill="1" applyBorder="1" applyAlignment="1">
      <alignment horizontal="justify" vertical="center"/>
    </xf>
    <xf numFmtId="0" fontId="0" fillId="0" borderId="13" xfId="0" applyFont="1" applyFill="1" applyBorder="1" applyAlignment="1">
      <alignment horizontal="justify" vertical="center"/>
    </xf>
    <xf numFmtId="0" fontId="3" fillId="0" borderId="12" xfId="0" applyFont="1" applyFill="1" applyBorder="1" applyAlignment="1">
      <alignment horizontal="justify" vertical="center"/>
    </xf>
    <xf numFmtId="0" fontId="0" fillId="0" borderId="1" xfId="0" applyFont="1" applyFill="1" applyBorder="1" applyAlignment="1">
      <alignment horizontal="justify" vertical="center"/>
    </xf>
    <xf numFmtId="0" fontId="3" fillId="0" borderId="8" xfId="0" applyFont="1" applyFill="1" applyBorder="1" applyAlignment="1">
      <alignment horizontal="justify" vertical="center"/>
    </xf>
    <xf numFmtId="0" fontId="3" fillId="0" borderId="14" xfId="0" applyFont="1" applyFill="1" applyBorder="1" applyAlignment="1">
      <alignment horizontal="justify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3" fillId="0" borderId="2" xfId="0" applyFont="1" applyBorder="1" applyAlignment="1">
      <alignment horizontal="justify" vertical="center"/>
    </xf>
    <xf numFmtId="0" fontId="3" fillId="0" borderId="9" xfId="0" applyFont="1" applyFill="1" applyBorder="1" applyAlignment="1">
      <alignment horizontal="justify" vertical="center"/>
    </xf>
    <xf numFmtId="0" fontId="3" fillId="0" borderId="4" xfId="0" applyFont="1" applyBorder="1" applyAlignment="1">
      <alignment horizontal="justify" vertical="center"/>
    </xf>
    <xf numFmtId="0" fontId="3" fillId="0" borderId="7" xfId="0" applyFont="1" applyBorder="1" applyAlignment="1">
      <alignment horizontal="justify" vertical="center"/>
    </xf>
    <xf numFmtId="0" fontId="3" fillId="0" borderId="2" xfId="0" applyFont="1" applyBorder="1" applyAlignment="1">
      <alignment vertical="center"/>
    </xf>
    <xf numFmtId="2" fontId="3" fillId="2" borderId="3" xfId="0" applyNumberFormat="1" applyFont="1" applyFill="1" applyBorder="1" applyAlignment="1">
      <alignment horizontal="justify" vertical="center"/>
    </xf>
    <xf numFmtId="0" fontId="0" fillId="0" borderId="2" xfId="0" applyBorder="1" applyAlignment="1">
      <alignment vertical="center"/>
    </xf>
    <xf numFmtId="0" fontId="3" fillId="0" borderId="6" xfId="0" applyFont="1" applyBorder="1" applyAlignment="1">
      <alignment vertical="center" wrapText="1"/>
    </xf>
    <xf numFmtId="2" fontId="3" fillId="2" borderId="10" xfId="0" applyNumberFormat="1" applyFont="1" applyFill="1" applyBorder="1" applyAlignment="1" applyProtection="1">
      <alignment horizontal="justify" vertical="center"/>
    </xf>
    <xf numFmtId="0" fontId="3" fillId="0" borderId="10" xfId="0" applyFont="1" applyFill="1" applyBorder="1" applyAlignment="1">
      <alignment horizontal="justify" vertical="center"/>
    </xf>
    <xf numFmtId="0" fontId="3" fillId="0" borderId="0" xfId="0" applyFont="1" applyBorder="1" applyAlignment="1">
      <alignment horizontal="justify" vertical="center"/>
    </xf>
    <xf numFmtId="2" fontId="3" fillId="0" borderId="4" xfId="0" applyNumberFormat="1" applyFont="1" applyFill="1" applyBorder="1" applyAlignment="1">
      <alignment horizontal="justify" vertical="center"/>
    </xf>
    <xf numFmtId="0" fontId="2" fillId="0" borderId="11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2" fontId="3" fillId="0" borderId="13" xfId="0" applyNumberFormat="1" applyFont="1" applyFill="1" applyBorder="1" applyAlignment="1">
      <alignment horizontal="justify" vertical="center"/>
    </xf>
    <xf numFmtId="2" fontId="3" fillId="0" borderId="13" xfId="0" applyNumberFormat="1" applyFont="1" applyFill="1" applyBorder="1" applyAlignment="1" applyProtection="1">
      <alignment horizontal="justify" vertic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justify"/>
    </xf>
    <xf numFmtId="0" fontId="0" fillId="0" borderId="0" xfId="0" applyFont="1" applyFill="1" applyBorder="1" applyAlignment="1">
      <alignment horizontal="justify"/>
    </xf>
    <xf numFmtId="0" fontId="1" fillId="0" borderId="0" xfId="0" applyFont="1" applyFill="1" applyBorder="1" applyAlignment="1"/>
    <xf numFmtId="0" fontId="3" fillId="0" borderId="0" xfId="0" applyFont="1" applyFill="1" applyAlignment="1">
      <alignment horizontal="justify"/>
    </xf>
    <xf numFmtId="0" fontId="2" fillId="0" borderId="3" xfId="0" applyFont="1" applyFill="1" applyBorder="1" applyAlignment="1"/>
    <xf numFmtId="0" fontId="3" fillId="0" borderId="2" xfId="0" applyFont="1" applyFill="1" applyBorder="1" applyAlignment="1">
      <alignment horizontal="justify" vertical="center"/>
    </xf>
    <xf numFmtId="2" fontId="2" fillId="0" borderId="10" xfId="0" applyNumberFormat="1" applyFont="1" applyFill="1" applyBorder="1" applyAlignment="1">
      <alignment horizontal="center" vertical="center" textRotation="180"/>
    </xf>
    <xf numFmtId="2" fontId="4" fillId="0" borderId="10" xfId="0" applyNumberFormat="1" applyFont="1" applyFill="1" applyBorder="1" applyAlignment="1">
      <alignment horizontal="center" vertical="center" textRotation="180" wrapText="1"/>
    </xf>
    <xf numFmtId="2" fontId="2" fillId="0" borderId="12" xfId="0" applyNumberFormat="1" applyFont="1" applyFill="1" applyBorder="1" applyAlignment="1">
      <alignment horizontal="center" vertical="center" textRotation="180"/>
    </xf>
    <xf numFmtId="0" fontId="3" fillId="0" borderId="1" xfId="0" applyFont="1" applyBorder="1" applyAlignment="1" applyProtection="1">
      <alignment horizontal="justify" vertical="center"/>
      <protection locked="0"/>
    </xf>
    <xf numFmtId="0" fontId="3" fillId="0" borderId="2" xfId="0" applyFont="1" applyBorder="1" applyAlignment="1" applyProtection="1">
      <alignment horizontal="justify" vertical="center"/>
      <protection locked="0"/>
    </xf>
    <xf numFmtId="0" fontId="2" fillId="0" borderId="6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2" fontId="2" fillId="0" borderId="3" xfId="0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 wrapText="1"/>
    </xf>
    <xf numFmtId="2" fontId="1" fillId="0" borderId="16" xfId="0" applyNumberFormat="1" applyFont="1" applyBorder="1" applyAlignment="1">
      <alignment horizontal="center"/>
    </xf>
    <xf numFmtId="2" fontId="1" fillId="0" borderId="16" xfId="0" applyNumberFormat="1" applyFont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justify" vertical="center"/>
    </xf>
    <xf numFmtId="0" fontId="2" fillId="0" borderId="3" xfId="0" applyFont="1" applyFill="1" applyBorder="1" applyAlignment="1">
      <alignment horizontal="justify" vertical="center"/>
    </xf>
    <xf numFmtId="0" fontId="10" fillId="0" borderId="3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justify" vertical="center" wrapText="1"/>
    </xf>
    <xf numFmtId="0" fontId="3" fillId="0" borderId="6" xfId="0" applyFont="1" applyFill="1" applyBorder="1" applyAlignment="1">
      <alignment horizontal="justify" vertical="center" wrapText="1"/>
    </xf>
    <xf numFmtId="0" fontId="2" fillId="0" borderId="5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2" fontId="1" fillId="0" borderId="17" xfId="0" applyNumberFormat="1" applyFont="1" applyFill="1" applyBorder="1" applyAlignment="1" applyProtection="1">
      <alignment horizontal="center"/>
    </xf>
    <xf numFmtId="0" fontId="3" fillId="0" borderId="1" xfId="0" applyFont="1" applyFill="1" applyBorder="1" applyAlignment="1">
      <alignment horizontal="justify" vertical="center" wrapText="1"/>
    </xf>
    <xf numFmtId="0" fontId="3" fillId="0" borderId="9" xfId="0" applyFont="1" applyFill="1" applyBorder="1" applyAlignment="1">
      <alignment horizontal="justify" vertical="center" wrapText="1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justify" vertical="center"/>
    </xf>
    <xf numFmtId="2" fontId="3" fillId="0" borderId="3" xfId="0" applyNumberFormat="1" applyFont="1" applyBorder="1" applyAlignment="1">
      <alignment horizontal="justify" vertical="center"/>
    </xf>
    <xf numFmtId="2" fontId="3" fillId="0" borderId="6" xfId="0" applyNumberFormat="1" applyFont="1" applyFill="1" applyBorder="1" applyAlignment="1">
      <alignment horizontal="justify" vertical="center"/>
    </xf>
    <xf numFmtId="2" fontId="3" fillId="0" borderId="3" xfId="0" applyNumberFormat="1" applyFont="1" applyFill="1" applyBorder="1" applyAlignment="1">
      <alignment horizontal="justify" vertical="center"/>
    </xf>
    <xf numFmtId="0" fontId="3" fillId="0" borderId="13" xfId="0" applyFont="1" applyFill="1" applyBorder="1" applyAlignment="1">
      <alignment horizontal="justify" vertical="center" wrapText="1"/>
    </xf>
    <xf numFmtId="0" fontId="3" fillId="0" borderId="12" xfId="0" applyFont="1" applyFill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/>
    </xf>
    <xf numFmtId="0" fontId="3" fillId="0" borderId="8" xfId="0" applyFont="1" applyBorder="1" applyAlignment="1">
      <alignment horizontal="justify" vertical="center"/>
    </xf>
    <xf numFmtId="0" fontId="3" fillId="0" borderId="0" xfId="0" applyFont="1" applyFill="1" applyBorder="1" applyAlignment="1">
      <alignment horizontal="justify" vertical="center" wrapText="1"/>
    </xf>
    <xf numFmtId="0" fontId="3" fillId="0" borderId="4" xfId="0" applyFont="1" applyFill="1" applyBorder="1" applyAlignment="1">
      <alignment horizontal="justify" vertical="center" wrapText="1"/>
    </xf>
    <xf numFmtId="0" fontId="1" fillId="0" borderId="0" xfId="0" applyFont="1" applyFill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justify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3" fillId="0" borderId="2" xfId="0" applyFont="1" applyFill="1" applyBorder="1" applyAlignment="1" applyProtection="1">
      <alignment horizontal="left" vertical="center"/>
      <protection locked="0"/>
    </xf>
    <xf numFmtId="0" fontId="3" fillId="0" borderId="1" xfId="0" applyFont="1" applyFill="1" applyBorder="1" applyAlignment="1" applyProtection="1">
      <alignment horizontal="left" vertical="center"/>
      <protection locked="0"/>
    </xf>
    <xf numFmtId="0" fontId="2" fillId="0" borderId="9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25</xdr:row>
      <xdr:rowOff>57149</xdr:rowOff>
    </xdr:from>
    <xdr:to>
      <xdr:col>8</xdr:col>
      <xdr:colOff>361950</xdr:colOff>
      <xdr:row>26</xdr:row>
      <xdr:rowOff>2720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0BAA00-370A-4AED-8963-7FBB4F697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7848599"/>
          <a:ext cx="6677024" cy="1717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132"/>
  <sheetViews>
    <sheetView tabSelected="1" view="pageLayout" topLeftCell="A124" zoomScaleNormal="100" zoomScaleSheetLayoutView="100" workbookViewId="0">
      <selection activeCell="D132" sqref="D132"/>
    </sheetView>
  </sheetViews>
  <sheetFormatPr defaultColWidth="9.1796875" defaultRowHeight="20.149999999999999" customHeight="1" x14ac:dyDescent="0.35"/>
  <cols>
    <col min="1" max="1" width="5.7265625" style="60" customWidth="1"/>
    <col min="2" max="2" width="5.7265625" style="1" customWidth="1"/>
    <col min="3" max="3" width="7.7265625" style="23" customWidth="1"/>
    <col min="4" max="4" width="47.7265625" style="1" customWidth="1"/>
    <col min="5" max="7" width="5.26953125" style="1" customWidth="1"/>
    <col min="8" max="8" width="5.26953125" style="2" customWidth="1"/>
    <col min="9" max="9" width="5.7265625" style="2" customWidth="1"/>
    <col min="10" max="10" width="9.1796875" style="2"/>
    <col min="11" max="16384" width="9.1796875" style="1"/>
  </cols>
  <sheetData>
    <row r="3" spans="1:4" ht="20.149999999999999" customHeight="1" x14ac:dyDescent="0.35">
      <c r="D3" s="14" t="s">
        <v>93</v>
      </c>
    </row>
    <row r="4" spans="1:4" ht="20.149999999999999" customHeight="1" x14ac:dyDescent="0.35">
      <c r="D4" s="14" t="s">
        <v>94</v>
      </c>
    </row>
    <row r="6" spans="1:4" ht="20.149999999999999" customHeight="1" x14ac:dyDescent="0.35">
      <c r="A6" s="129" t="s">
        <v>0</v>
      </c>
      <c r="B6" s="129"/>
      <c r="C6" s="129"/>
    </row>
    <row r="7" spans="1:4" ht="30" customHeight="1" x14ac:dyDescent="0.35">
      <c r="A7" s="61" t="s">
        <v>1</v>
      </c>
      <c r="B7" s="131" t="s">
        <v>43</v>
      </c>
      <c r="C7" s="131"/>
      <c r="D7" s="131"/>
    </row>
    <row r="8" spans="1:4" ht="30" customHeight="1" x14ac:dyDescent="0.35">
      <c r="A8" s="61" t="s">
        <v>2</v>
      </c>
      <c r="B8" s="131" t="s">
        <v>44</v>
      </c>
      <c r="C8" s="131"/>
      <c r="D8" s="131"/>
    </row>
    <row r="9" spans="1:4" ht="30" customHeight="1" x14ac:dyDescent="0.35">
      <c r="A9" s="61" t="s">
        <v>38</v>
      </c>
      <c r="B9" s="129" t="s">
        <v>45</v>
      </c>
      <c r="C9" s="129"/>
      <c r="D9" s="129"/>
    </row>
    <row r="10" spans="1:4" ht="30" customHeight="1" x14ac:dyDescent="0.35">
      <c r="A10" s="61" t="s">
        <v>39</v>
      </c>
      <c r="B10" s="129" t="s">
        <v>46</v>
      </c>
      <c r="C10" s="129"/>
      <c r="D10" s="129"/>
    </row>
    <row r="11" spans="1:4" ht="30" customHeight="1" x14ac:dyDescent="0.35">
      <c r="A11" s="61"/>
      <c r="B11" s="129"/>
      <c r="C11" s="129"/>
      <c r="D11" s="129"/>
    </row>
    <row r="12" spans="1:4" ht="30" customHeight="1" x14ac:dyDescent="0.35">
      <c r="A12" s="61"/>
      <c r="B12" s="129"/>
      <c r="C12" s="129"/>
      <c r="D12" s="129"/>
    </row>
    <row r="13" spans="1:4" ht="30" customHeight="1" x14ac:dyDescent="0.35">
      <c r="A13" s="61"/>
      <c r="B13" s="129"/>
      <c r="C13" s="129"/>
      <c r="D13" s="129"/>
    </row>
    <row r="17" spans="1:16" ht="30" customHeight="1" x14ac:dyDescent="0.35">
      <c r="A17" s="133" t="s">
        <v>3</v>
      </c>
      <c r="B17" s="133"/>
      <c r="C17" s="135"/>
      <c r="D17" s="135"/>
      <c r="E17" s="135"/>
      <c r="F17" s="135"/>
      <c r="G17" s="135"/>
      <c r="H17" s="135"/>
    </row>
    <row r="18" spans="1:16" ht="30" customHeight="1" x14ac:dyDescent="0.35">
      <c r="A18" s="133" t="s">
        <v>42</v>
      </c>
      <c r="B18" s="133"/>
      <c r="C18" s="134"/>
      <c r="D18" s="134"/>
      <c r="E18" s="134"/>
      <c r="F18" s="134"/>
      <c r="G18" s="134"/>
      <c r="H18" s="134"/>
    </row>
    <row r="19" spans="1:16" ht="30" customHeight="1" x14ac:dyDescent="0.35">
      <c r="A19" s="133" t="s">
        <v>4</v>
      </c>
      <c r="B19" s="133"/>
      <c r="C19" s="134"/>
      <c r="D19" s="134"/>
      <c r="E19" s="134"/>
      <c r="F19" s="134"/>
      <c r="G19" s="134"/>
      <c r="H19" s="134"/>
    </row>
    <row r="20" spans="1:16" ht="30" customHeight="1" x14ac:dyDescent="0.35">
      <c r="A20" s="133" t="s">
        <v>5</v>
      </c>
      <c r="B20" s="133"/>
      <c r="C20" s="134"/>
      <c r="D20" s="134"/>
      <c r="E20" s="134"/>
      <c r="F20" s="134"/>
      <c r="G20" s="134"/>
      <c r="H20" s="134"/>
    </row>
    <row r="21" spans="1:16" ht="30" customHeight="1" x14ac:dyDescent="0.35">
      <c r="A21" s="132" t="s">
        <v>6</v>
      </c>
      <c r="B21" s="132"/>
      <c r="C21" s="132"/>
      <c r="D21" s="134"/>
      <c r="E21" s="134"/>
      <c r="F21" s="134"/>
      <c r="G21" s="134"/>
      <c r="H21" s="134"/>
    </row>
    <row r="26" spans="1:16" ht="140.15" customHeight="1" x14ac:dyDescent="0.35">
      <c r="A26" s="130"/>
      <c r="B26" s="130"/>
      <c r="C26" s="130"/>
      <c r="D26" s="130"/>
      <c r="E26" s="130"/>
      <c r="F26" s="130"/>
      <c r="G26" s="130"/>
      <c r="H26" s="130"/>
      <c r="I26" s="130"/>
    </row>
    <row r="27" spans="1:16" ht="120" customHeight="1" x14ac:dyDescent="0.35">
      <c r="A27" s="117" t="s">
        <v>7</v>
      </c>
      <c r="B27" s="118"/>
      <c r="C27" s="118"/>
      <c r="D27" s="118"/>
      <c r="E27" s="118"/>
      <c r="F27" s="118"/>
      <c r="G27" s="82" t="s">
        <v>8</v>
      </c>
      <c r="H27" s="83" t="s">
        <v>9</v>
      </c>
      <c r="I27" s="84" t="s">
        <v>10</v>
      </c>
    </row>
    <row r="28" spans="1:16" ht="35.15" customHeight="1" x14ac:dyDescent="0.35">
      <c r="A28" s="102" t="s">
        <v>47</v>
      </c>
      <c r="B28" s="103"/>
      <c r="C28" s="103"/>
      <c r="D28" s="103"/>
      <c r="E28" s="103"/>
      <c r="F28" s="87"/>
      <c r="G28" s="29"/>
      <c r="H28" s="29"/>
      <c r="I28" s="28"/>
    </row>
    <row r="29" spans="1:16" ht="35.15" customHeight="1" x14ac:dyDescent="0.35">
      <c r="A29" s="102" t="s">
        <v>11</v>
      </c>
      <c r="B29" s="103"/>
      <c r="C29" s="103"/>
      <c r="D29" s="103"/>
      <c r="E29" s="103"/>
      <c r="F29" s="87"/>
      <c r="G29" s="25"/>
      <c r="H29" s="25"/>
      <c r="I29" s="27"/>
      <c r="M29" s="2"/>
      <c r="N29" s="2"/>
      <c r="O29" s="2"/>
      <c r="P29" s="2"/>
    </row>
    <row r="30" spans="1:16" ht="60" customHeight="1" x14ac:dyDescent="0.35">
      <c r="A30" s="62" t="s">
        <v>12</v>
      </c>
      <c r="B30" s="125" t="s">
        <v>111</v>
      </c>
      <c r="C30" s="126"/>
      <c r="D30" s="126"/>
      <c r="E30" s="126"/>
      <c r="F30" s="126"/>
      <c r="G30" s="4"/>
      <c r="H30" s="5"/>
      <c r="I30" s="6"/>
      <c r="M30" s="7"/>
      <c r="N30" s="2"/>
      <c r="O30" s="2"/>
      <c r="P30" s="2"/>
    </row>
    <row r="31" spans="1:16" ht="40" customHeight="1" x14ac:dyDescent="0.35">
      <c r="A31" s="63" t="s">
        <v>13</v>
      </c>
      <c r="B31" s="121" t="s">
        <v>48</v>
      </c>
      <c r="C31" s="122"/>
      <c r="D31" s="122"/>
      <c r="E31" s="122"/>
      <c r="F31" s="122"/>
      <c r="G31" s="4"/>
      <c r="H31" s="5"/>
      <c r="I31" s="6"/>
      <c r="M31" s="7"/>
      <c r="N31" s="2"/>
      <c r="O31" s="2"/>
      <c r="P31" s="2"/>
    </row>
    <row r="32" spans="1:16" ht="40" customHeight="1" x14ac:dyDescent="0.35">
      <c r="A32" s="63" t="s">
        <v>14</v>
      </c>
      <c r="B32" s="121" t="s">
        <v>49</v>
      </c>
      <c r="C32" s="122"/>
      <c r="D32" s="122"/>
      <c r="E32" s="122"/>
      <c r="F32" s="122"/>
      <c r="G32" s="4"/>
      <c r="H32" s="5"/>
      <c r="I32" s="6"/>
      <c r="M32" s="7"/>
      <c r="N32" s="2"/>
      <c r="O32" s="2"/>
      <c r="P32" s="2"/>
    </row>
    <row r="33" spans="1:16" ht="40" customHeight="1" x14ac:dyDescent="0.35">
      <c r="A33" s="63" t="s">
        <v>15</v>
      </c>
      <c r="B33" s="121" t="s">
        <v>50</v>
      </c>
      <c r="C33" s="122"/>
      <c r="D33" s="122"/>
      <c r="E33" s="122"/>
      <c r="F33" s="122"/>
      <c r="G33" s="4"/>
      <c r="H33" s="5"/>
      <c r="I33" s="6"/>
      <c r="M33" s="7"/>
      <c r="N33" s="2"/>
      <c r="O33" s="2"/>
      <c r="P33" s="2"/>
    </row>
    <row r="34" spans="1:16" ht="40" customHeight="1" x14ac:dyDescent="0.35">
      <c r="A34" s="63" t="s">
        <v>16</v>
      </c>
      <c r="B34" s="119" t="s">
        <v>109</v>
      </c>
      <c r="C34" s="120"/>
      <c r="D34" s="120"/>
      <c r="E34" s="120"/>
      <c r="F34" s="120"/>
      <c r="G34" s="4"/>
      <c r="H34" s="5"/>
      <c r="I34" s="6"/>
      <c r="M34" s="7"/>
      <c r="N34" s="2"/>
      <c r="O34" s="2"/>
      <c r="P34" s="2"/>
    </row>
    <row r="35" spans="1:16" ht="40" customHeight="1" x14ac:dyDescent="0.35">
      <c r="A35" s="63" t="s">
        <v>41</v>
      </c>
      <c r="B35" s="119" t="s">
        <v>110</v>
      </c>
      <c r="C35" s="120"/>
      <c r="D35" s="120"/>
      <c r="E35" s="120"/>
      <c r="F35" s="120"/>
      <c r="G35" s="4"/>
      <c r="H35" s="5"/>
      <c r="I35" s="6"/>
      <c r="M35" s="7"/>
      <c r="N35" s="2"/>
      <c r="O35" s="2"/>
      <c r="P35" s="2"/>
    </row>
    <row r="36" spans="1:16" ht="40" customHeight="1" x14ac:dyDescent="0.35">
      <c r="A36" s="63" t="s">
        <v>120</v>
      </c>
      <c r="B36" s="119" t="s">
        <v>121</v>
      </c>
      <c r="C36" s="120"/>
      <c r="D36" s="120"/>
      <c r="E36" s="120"/>
      <c r="F36" s="120"/>
      <c r="G36" s="4"/>
      <c r="H36" s="5"/>
      <c r="I36" s="6"/>
      <c r="M36" s="7"/>
      <c r="N36" s="2"/>
      <c r="O36" s="2"/>
      <c r="P36" s="2"/>
    </row>
    <row r="37" spans="1:16" ht="35.15" customHeight="1" x14ac:dyDescent="0.35">
      <c r="A37" s="64"/>
      <c r="B37" s="2"/>
      <c r="C37" s="24"/>
      <c r="D37" s="2"/>
      <c r="E37" s="2"/>
      <c r="F37" s="57"/>
      <c r="G37" s="17"/>
      <c r="H37" s="54" t="e">
        <f>AVERAGEIF(G30:G36, "&gt;=0")</f>
        <v>#DIV/0!</v>
      </c>
      <c r="I37" s="6"/>
      <c r="M37" s="2"/>
      <c r="N37" s="2"/>
      <c r="O37" s="3"/>
      <c r="P37" s="2"/>
    </row>
    <row r="38" spans="1:16" s="2" customFormat="1" ht="30" customHeight="1" x14ac:dyDescent="0.35">
      <c r="A38" s="72"/>
      <c r="B38" s="33"/>
      <c r="C38" s="34"/>
      <c r="D38" s="33"/>
      <c r="E38" s="33"/>
      <c r="F38" s="73"/>
      <c r="G38" s="73"/>
      <c r="H38" s="74"/>
      <c r="I38" s="33"/>
      <c r="O38" s="3"/>
    </row>
    <row r="39" spans="1:16" ht="30" customHeight="1" x14ac:dyDescent="0.35">
      <c r="A39" s="102" t="s">
        <v>17</v>
      </c>
      <c r="B39" s="103"/>
      <c r="C39" s="103"/>
      <c r="D39" s="103"/>
      <c r="E39" s="103"/>
      <c r="F39" s="87"/>
      <c r="G39" s="80"/>
      <c r="H39" s="16"/>
      <c r="I39" s="35"/>
    </row>
    <row r="40" spans="1:16" ht="40" customHeight="1" x14ac:dyDescent="0.35">
      <c r="A40" s="63" t="s">
        <v>18</v>
      </c>
      <c r="B40" s="105" t="s">
        <v>51</v>
      </c>
      <c r="C40" s="105"/>
      <c r="D40" s="105"/>
      <c r="E40" s="105"/>
      <c r="F40" s="106"/>
      <c r="G40" s="4"/>
      <c r="H40" s="5"/>
      <c r="I40" s="5"/>
    </row>
    <row r="41" spans="1:16" ht="40" customHeight="1" x14ac:dyDescent="0.35">
      <c r="A41" s="63" t="s">
        <v>19</v>
      </c>
      <c r="B41" s="127" t="s">
        <v>52</v>
      </c>
      <c r="C41" s="127"/>
      <c r="D41" s="127"/>
      <c r="E41" s="127"/>
      <c r="F41" s="128"/>
      <c r="G41" s="4"/>
      <c r="H41" s="5"/>
      <c r="I41" s="5"/>
    </row>
    <row r="42" spans="1:16" ht="40" customHeight="1" x14ac:dyDescent="0.35">
      <c r="A42" s="63" t="s">
        <v>20</v>
      </c>
      <c r="B42" s="123" t="s">
        <v>53</v>
      </c>
      <c r="C42" s="123"/>
      <c r="D42" s="123"/>
      <c r="E42" s="123"/>
      <c r="F42" s="124"/>
      <c r="G42" s="4"/>
      <c r="H42" s="5"/>
      <c r="I42" s="5"/>
    </row>
    <row r="43" spans="1:16" ht="44.15" customHeight="1" x14ac:dyDescent="0.35">
      <c r="A43" s="63" t="s">
        <v>23</v>
      </c>
      <c r="B43" s="100" t="s">
        <v>54</v>
      </c>
      <c r="C43" s="100"/>
      <c r="D43" s="100"/>
      <c r="E43" s="100"/>
      <c r="F43" s="101"/>
      <c r="G43" s="4"/>
      <c r="H43" s="5"/>
      <c r="I43" s="5"/>
    </row>
    <row r="44" spans="1:16" ht="44.15" customHeight="1" x14ac:dyDescent="0.35">
      <c r="A44" s="63" t="s">
        <v>24</v>
      </c>
      <c r="B44" s="123" t="s">
        <v>55</v>
      </c>
      <c r="C44" s="123"/>
      <c r="D44" s="123"/>
      <c r="E44" s="123"/>
      <c r="F44" s="124"/>
      <c r="G44" s="4"/>
      <c r="H44" s="5"/>
      <c r="I44" s="5"/>
    </row>
    <row r="45" spans="1:16" ht="44.15" customHeight="1" x14ac:dyDescent="0.35">
      <c r="A45" s="63" t="s">
        <v>40</v>
      </c>
      <c r="B45" s="100" t="s">
        <v>56</v>
      </c>
      <c r="C45" s="100"/>
      <c r="D45" s="100"/>
      <c r="E45" s="100"/>
      <c r="F45" s="101"/>
      <c r="G45" s="4"/>
      <c r="H45" s="5"/>
      <c r="I45" s="5"/>
    </row>
    <row r="46" spans="1:16" ht="44.15" customHeight="1" x14ac:dyDescent="0.35">
      <c r="A46" s="63" t="s">
        <v>57</v>
      </c>
      <c r="B46" s="105" t="s">
        <v>97</v>
      </c>
      <c r="C46" s="105"/>
      <c r="D46" s="105"/>
      <c r="E46" s="105"/>
      <c r="F46" s="106"/>
      <c r="G46" s="4"/>
      <c r="H46" s="5"/>
      <c r="I46" s="5"/>
    </row>
    <row r="47" spans="1:16" ht="44.15" customHeight="1" x14ac:dyDescent="0.35">
      <c r="A47" s="63" t="s">
        <v>58</v>
      </c>
      <c r="B47" s="127" t="s">
        <v>108</v>
      </c>
      <c r="C47" s="127"/>
      <c r="D47" s="127"/>
      <c r="E47" s="127"/>
      <c r="F47" s="128"/>
      <c r="G47" s="4"/>
      <c r="H47" s="5"/>
      <c r="I47" s="5"/>
    </row>
    <row r="48" spans="1:16" ht="40" customHeight="1" x14ac:dyDescent="0.35">
      <c r="A48" s="63" t="s">
        <v>59</v>
      </c>
      <c r="B48" s="123" t="s">
        <v>63</v>
      </c>
      <c r="C48" s="123"/>
      <c r="D48" s="123"/>
      <c r="E48" s="123"/>
      <c r="F48" s="124"/>
      <c r="G48" s="4"/>
      <c r="H48" s="5"/>
      <c r="I48" s="5"/>
    </row>
    <row r="49" spans="1:9" ht="40" customHeight="1" x14ac:dyDescent="0.35">
      <c r="A49" s="63" t="s">
        <v>60</v>
      </c>
      <c r="B49" s="100" t="s">
        <v>64</v>
      </c>
      <c r="C49" s="100"/>
      <c r="D49" s="100"/>
      <c r="E49" s="100"/>
      <c r="F49" s="101"/>
      <c r="G49" s="4"/>
      <c r="H49" s="5"/>
      <c r="I49" s="5"/>
    </row>
    <row r="50" spans="1:9" ht="40" customHeight="1" x14ac:dyDescent="0.35">
      <c r="A50" s="63" t="s">
        <v>61</v>
      </c>
      <c r="B50" s="123" t="s">
        <v>65</v>
      </c>
      <c r="C50" s="123"/>
      <c r="D50" s="123"/>
      <c r="E50" s="123"/>
      <c r="F50" s="124"/>
      <c r="G50" s="4"/>
      <c r="H50" s="5"/>
      <c r="I50" s="5"/>
    </row>
    <row r="51" spans="1:9" ht="40" customHeight="1" x14ac:dyDescent="0.35">
      <c r="A51" s="63" t="s">
        <v>62</v>
      </c>
      <c r="B51" s="100" t="s">
        <v>66</v>
      </c>
      <c r="C51" s="100"/>
      <c r="D51" s="100"/>
      <c r="E51" s="100"/>
      <c r="F51" s="101"/>
      <c r="G51" s="4"/>
      <c r="H51" s="5"/>
      <c r="I51" s="5"/>
    </row>
    <row r="52" spans="1:9" ht="30" customHeight="1" x14ac:dyDescent="0.35">
      <c r="A52" s="63"/>
      <c r="B52" s="2"/>
      <c r="C52" s="24"/>
      <c r="D52" s="2"/>
      <c r="E52" s="2"/>
      <c r="F52" s="47"/>
      <c r="G52" s="13"/>
      <c r="H52" s="19" t="e">
        <f>AVERAGEIF(G40:G51, "&gt;=0")</f>
        <v>#DIV/0!</v>
      </c>
      <c r="I52" s="5"/>
    </row>
    <row r="53" spans="1:9" ht="30" customHeight="1" x14ac:dyDescent="0.35">
      <c r="A53" s="102" t="s">
        <v>21</v>
      </c>
      <c r="B53" s="103"/>
      <c r="C53" s="103"/>
      <c r="D53" s="103"/>
      <c r="E53" s="103"/>
      <c r="F53" s="87"/>
      <c r="G53" s="15"/>
      <c r="H53" s="16"/>
      <c r="I53" s="5"/>
    </row>
    <row r="54" spans="1:9" ht="40" customHeight="1" x14ac:dyDescent="0.35">
      <c r="A54" s="63" t="s">
        <v>22</v>
      </c>
      <c r="B54" s="105" t="s">
        <v>67</v>
      </c>
      <c r="C54" s="105"/>
      <c r="D54" s="105"/>
      <c r="E54" s="105"/>
      <c r="F54" s="106"/>
      <c r="G54" s="4"/>
      <c r="H54" s="5"/>
      <c r="I54" s="6"/>
    </row>
    <row r="55" spans="1:9" ht="30" customHeight="1" x14ac:dyDescent="0.35">
      <c r="A55" s="64"/>
      <c r="B55" s="2"/>
      <c r="C55" s="24"/>
      <c r="D55" s="2"/>
      <c r="E55" s="2"/>
      <c r="F55" s="6"/>
      <c r="G55" s="31"/>
      <c r="H55" s="19" t="e">
        <f>AVERAGEIF(G54:G54, "&gt;=0")</f>
        <v>#DIV/0!</v>
      </c>
      <c r="I55" s="5"/>
    </row>
    <row r="56" spans="1:9" ht="30" customHeight="1" x14ac:dyDescent="0.35">
      <c r="A56" s="65"/>
      <c r="B56" s="21"/>
      <c r="C56" s="36"/>
      <c r="D56" s="21"/>
      <c r="E56" s="21"/>
      <c r="F56" s="47"/>
      <c r="G56" s="38"/>
      <c r="H56" s="13"/>
      <c r="I56" s="19" t="e">
        <f>AVERAGEIF($H$37:$H$55, "&gt;=0")</f>
        <v>#DIV/0!</v>
      </c>
    </row>
    <row r="57" spans="1:9" ht="30" customHeight="1" x14ac:dyDescent="0.35">
      <c r="A57" s="97" t="s">
        <v>68</v>
      </c>
      <c r="B57" s="98"/>
      <c r="C57" s="98"/>
      <c r="D57" s="98"/>
      <c r="E57" s="98"/>
      <c r="F57" s="98"/>
      <c r="G57" s="58"/>
      <c r="H57" s="58"/>
      <c r="I57" s="59"/>
    </row>
    <row r="58" spans="1:9" ht="30" customHeight="1" x14ac:dyDescent="0.35">
      <c r="A58" s="97" t="s">
        <v>11</v>
      </c>
      <c r="B58" s="98"/>
      <c r="C58" s="98"/>
      <c r="D58" s="98"/>
      <c r="E58" s="98"/>
      <c r="F58" s="99"/>
      <c r="G58" s="30"/>
      <c r="H58" s="30"/>
      <c r="I58" s="32"/>
    </row>
    <row r="59" spans="1:9" ht="40" customHeight="1" x14ac:dyDescent="0.35">
      <c r="A59" s="63" t="s">
        <v>12</v>
      </c>
      <c r="B59" s="105" t="s">
        <v>69</v>
      </c>
      <c r="C59" s="105"/>
      <c r="D59" s="105"/>
      <c r="E59" s="105"/>
      <c r="F59" s="106"/>
      <c r="G59" s="4"/>
      <c r="H59" s="6"/>
      <c r="I59" s="5"/>
    </row>
    <row r="60" spans="1:9" ht="40" customHeight="1" x14ac:dyDescent="0.35">
      <c r="A60" s="63" t="s">
        <v>13</v>
      </c>
      <c r="B60" s="100" t="s">
        <v>70</v>
      </c>
      <c r="C60" s="100"/>
      <c r="D60" s="100"/>
      <c r="E60" s="100"/>
      <c r="F60" s="101"/>
      <c r="G60" s="4"/>
      <c r="H60" s="6"/>
      <c r="I60" s="5"/>
    </row>
    <row r="61" spans="1:9" ht="40" customHeight="1" x14ac:dyDescent="0.35">
      <c r="A61" s="63" t="s">
        <v>14</v>
      </c>
      <c r="B61" s="100" t="s">
        <v>71</v>
      </c>
      <c r="C61" s="100"/>
      <c r="D61" s="100"/>
      <c r="E61" s="100"/>
      <c r="F61" s="101"/>
      <c r="G61" s="4"/>
      <c r="H61" s="6"/>
      <c r="I61" s="5"/>
    </row>
    <row r="62" spans="1:9" ht="30" customHeight="1" x14ac:dyDescent="0.35">
      <c r="A62" s="63"/>
      <c r="B62" s="2"/>
      <c r="C62" s="24"/>
      <c r="D62" s="2"/>
      <c r="E62" s="137"/>
      <c r="F62" s="138"/>
      <c r="G62" s="2"/>
      <c r="H62" s="19" t="e">
        <f>AVERAGEIF(G59:G61, "&gt;=0")</f>
        <v>#DIV/0!</v>
      </c>
      <c r="I62" s="5"/>
    </row>
    <row r="63" spans="1:9" ht="30" customHeight="1" x14ac:dyDescent="0.35">
      <c r="A63" s="88" t="s">
        <v>17</v>
      </c>
      <c r="B63" s="88"/>
      <c r="C63" s="88"/>
      <c r="D63" s="88"/>
      <c r="E63" s="88"/>
      <c r="F63" s="88"/>
      <c r="G63" s="5"/>
      <c r="H63" s="6"/>
      <c r="I63" s="5"/>
    </row>
    <row r="64" spans="1:9" ht="35.15" customHeight="1" x14ac:dyDescent="0.35">
      <c r="A64" s="63" t="s">
        <v>18</v>
      </c>
      <c r="B64" s="105" t="s">
        <v>72</v>
      </c>
      <c r="C64" s="105"/>
      <c r="D64" s="105"/>
      <c r="E64" s="105"/>
      <c r="F64" s="106"/>
      <c r="G64" s="4"/>
      <c r="H64" s="6"/>
      <c r="I64" s="5"/>
    </row>
    <row r="65" spans="1:9" ht="35.15" customHeight="1" x14ac:dyDescent="0.35">
      <c r="A65" s="63" t="s">
        <v>19</v>
      </c>
      <c r="B65" s="100" t="s">
        <v>73</v>
      </c>
      <c r="C65" s="100"/>
      <c r="D65" s="100"/>
      <c r="E65" s="100"/>
      <c r="F65" s="101"/>
      <c r="G65" s="4"/>
      <c r="H65" s="6"/>
      <c r="I65" s="5"/>
    </row>
    <row r="66" spans="1:9" ht="35.15" customHeight="1" x14ac:dyDescent="0.35">
      <c r="A66" s="63" t="s">
        <v>20</v>
      </c>
      <c r="B66" s="100" t="s">
        <v>74</v>
      </c>
      <c r="C66" s="100"/>
      <c r="D66" s="100"/>
      <c r="E66" s="100"/>
      <c r="F66" s="124"/>
      <c r="G66" s="4"/>
      <c r="H66" s="6"/>
      <c r="I66" s="5"/>
    </row>
    <row r="67" spans="1:9" ht="30" customHeight="1" x14ac:dyDescent="0.35">
      <c r="A67" s="64"/>
      <c r="B67" s="2"/>
      <c r="C67" s="24"/>
      <c r="D67" s="2"/>
      <c r="E67" s="2"/>
      <c r="F67" s="20"/>
      <c r="G67" s="31"/>
      <c r="H67" s="19" t="e">
        <f xml:space="preserve"> AVERAGEIF(G64:G66, "&gt;=0")</f>
        <v>#DIV/0!</v>
      </c>
      <c r="I67" s="5"/>
    </row>
    <row r="68" spans="1:9" ht="30" customHeight="1" x14ac:dyDescent="0.35">
      <c r="A68" s="102" t="s">
        <v>21</v>
      </c>
      <c r="B68" s="103"/>
      <c r="C68" s="103"/>
      <c r="D68" s="103"/>
      <c r="E68" s="103"/>
      <c r="F68" s="136"/>
      <c r="G68" s="18"/>
      <c r="H68" s="6"/>
      <c r="I68" s="5"/>
    </row>
    <row r="69" spans="1:9" ht="40" customHeight="1" x14ac:dyDescent="0.35">
      <c r="A69" s="63" t="s">
        <v>22</v>
      </c>
      <c r="B69" s="100" t="s">
        <v>95</v>
      </c>
      <c r="C69" s="100"/>
      <c r="D69" s="100"/>
      <c r="E69" s="100"/>
      <c r="F69" s="101"/>
      <c r="G69" s="4"/>
      <c r="H69" s="6"/>
      <c r="I69" s="5"/>
    </row>
    <row r="70" spans="1:9" ht="30" customHeight="1" x14ac:dyDescent="0.35">
      <c r="A70" s="64"/>
      <c r="B70" s="2"/>
      <c r="C70" s="24"/>
      <c r="D70" s="2"/>
      <c r="E70" s="2"/>
      <c r="F70" s="2"/>
      <c r="G70" s="31"/>
      <c r="H70" s="19" t="e">
        <f>AVERAGEIF(G69:G69, "&gt;=0")</f>
        <v>#DIV/0!</v>
      </c>
      <c r="I70" s="6"/>
    </row>
    <row r="71" spans="1:9" ht="30" customHeight="1" x14ac:dyDescent="0.35">
      <c r="A71" s="65"/>
      <c r="B71" s="21"/>
      <c r="C71" s="36"/>
      <c r="D71" s="21"/>
      <c r="E71" s="21"/>
      <c r="F71" s="21"/>
      <c r="G71" s="38"/>
      <c r="H71" s="13"/>
      <c r="I71" s="19" t="e">
        <f>AVERAGEIF($H$62:$H$70, "&gt;=0")</f>
        <v>#DIV/0!</v>
      </c>
    </row>
    <row r="72" spans="1:9" ht="25" customHeight="1" x14ac:dyDescent="0.35">
      <c r="A72" s="66"/>
      <c r="B72" s="2"/>
      <c r="C72" s="24"/>
      <c r="D72" s="2"/>
      <c r="E72" s="2"/>
      <c r="F72" s="2"/>
      <c r="G72" s="26"/>
      <c r="H72" s="26"/>
      <c r="I72" s="22"/>
    </row>
    <row r="73" spans="1:9" ht="30" customHeight="1" x14ac:dyDescent="0.35">
      <c r="A73" s="97" t="s">
        <v>75</v>
      </c>
      <c r="B73" s="98"/>
      <c r="C73" s="98"/>
      <c r="D73" s="98"/>
      <c r="E73" s="98"/>
      <c r="F73" s="98"/>
      <c r="G73" s="30"/>
      <c r="H73" s="30"/>
      <c r="I73" s="32"/>
    </row>
    <row r="74" spans="1:9" ht="30" customHeight="1" x14ac:dyDescent="0.35">
      <c r="A74" s="97" t="s">
        <v>11</v>
      </c>
      <c r="B74" s="98"/>
      <c r="C74" s="98"/>
      <c r="D74" s="98"/>
      <c r="E74" s="98"/>
      <c r="F74" s="99"/>
      <c r="G74" s="30"/>
      <c r="H74" s="30"/>
      <c r="I74" s="32"/>
    </row>
    <row r="75" spans="1:9" ht="40" customHeight="1" x14ac:dyDescent="0.35">
      <c r="A75" s="63" t="s">
        <v>12</v>
      </c>
      <c r="B75" s="105" t="s">
        <v>76</v>
      </c>
      <c r="C75" s="105"/>
      <c r="D75" s="105"/>
      <c r="E75" s="105"/>
      <c r="F75" s="106"/>
      <c r="G75" s="4"/>
      <c r="H75" s="6"/>
      <c r="I75" s="5"/>
    </row>
    <row r="76" spans="1:9" s="42" customFormat="1" ht="40" customHeight="1" x14ac:dyDescent="0.35">
      <c r="A76" s="67" t="s">
        <v>13</v>
      </c>
      <c r="B76" s="112" t="s">
        <v>112</v>
      </c>
      <c r="C76" s="112"/>
      <c r="D76" s="112"/>
      <c r="E76" s="112"/>
      <c r="F76" s="113"/>
      <c r="G76" s="4"/>
      <c r="H76" s="48"/>
      <c r="I76" s="49"/>
    </row>
    <row r="77" spans="1:9" ht="30" customHeight="1" x14ac:dyDescent="0.35">
      <c r="A77" s="63"/>
      <c r="B77" s="21"/>
      <c r="C77" s="36"/>
      <c r="D77" s="21"/>
      <c r="E77" s="110"/>
      <c r="F77" s="111"/>
      <c r="G77" s="21"/>
      <c r="H77" s="19" t="e">
        <f>AVERAGEIF(G75:G76, "&gt;=0")</f>
        <v>#DIV/0!</v>
      </c>
      <c r="I77" s="37"/>
    </row>
    <row r="78" spans="1:9" ht="30" customHeight="1" x14ac:dyDescent="0.35">
      <c r="A78" s="88" t="s">
        <v>17</v>
      </c>
      <c r="B78" s="88"/>
      <c r="C78" s="88"/>
      <c r="D78" s="88"/>
      <c r="E78" s="88"/>
      <c r="F78" s="88"/>
      <c r="G78" s="55"/>
      <c r="H78" s="35"/>
      <c r="I78" s="55"/>
    </row>
    <row r="79" spans="1:9" ht="40" customHeight="1" x14ac:dyDescent="0.35">
      <c r="A79" s="63" t="s">
        <v>18</v>
      </c>
      <c r="B79" s="105" t="s">
        <v>77</v>
      </c>
      <c r="C79" s="105"/>
      <c r="D79" s="105"/>
      <c r="E79" s="105"/>
      <c r="F79" s="106"/>
      <c r="G79" s="4"/>
      <c r="H79" s="6"/>
      <c r="I79" s="5"/>
    </row>
    <row r="80" spans="1:9" ht="44.15" customHeight="1" x14ac:dyDescent="0.35">
      <c r="A80" s="63" t="s">
        <v>19</v>
      </c>
      <c r="B80" s="100" t="s">
        <v>98</v>
      </c>
      <c r="C80" s="100"/>
      <c r="D80" s="100"/>
      <c r="E80" s="100"/>
      <c r="F80" s="101"/>
      <c r="G80" s="4"/>
      <c r="H80" s="6"/>
      <c r="I80" s="5"/>
    </row>
    <row r="81" spans="1:9" ht="44.15" customHeight="1" x14ac:dyDescent="0.35">
      <c r="A81" s="63" t="s">
        <v>20</v>
      </c>
      <c r="B81" s="100" t="s">
        <v>78</v>
      </c>
      <c r="C81" s="100"/>
      <c r="D81" s="100"/>
      <c r="E81" s="100"/>
      <c r="F81" s="101"/>
      <c r="G81" s="4"/>
      <c r="H81" s="6"/>
      <c r="I81" s="5"/>
    </row>
    <row r="82" spans="1:9" ht="44.15" customHeight="1" x14ac:dyDescent="0.35">
      <c r="A82" s="63" t="s">
        <v>23</v>
      </c>
      <c r="B82" s="100" t="s">
        <v>79</v>
      </c>
      <c r="C82" s="100"/>
      <c r="D82" s="100"/>
      <c r="E82" s="100"/>
      <c r="F82" s="101"/>
      <c r="G82" s="4"/>
      <c r="H82" s="6"/>
      <c r="I82" s="5"/>
    </row>
    <row r="83" spans="1:9" ht="35.15" customHeight="1" x14ac:dyDescent="0.35">
      <c r="A83" s="63" t="s">
        <v>24</v>
      </c>
      <c r="B83" s="100" t="s">
        <v>99</v>
      </c>
      <c r="C83" s="100"/>
      <c r="D83" s="100"/>
      <c r="E83" s="100"/>
      <c r="F83" s="101"/>
      <c r="G83" s="4"/>
      <c r="H83" s="6"/>
      <c r="I83" s="5"/>
    </row>
    <row r="84" spans="1:9" ht="35.15" customHeight="1" x14ac:dyDescent="0.35">
      <c r="A84" s="63" t="s">
        <v>40</v>
      </c>
      <c r="B84" s="100" t="s">
        <v>80</v>
      </c>
      <c r="C84" s="100"/>
      <c r="D84" s="100"/>
      <c r="E84" s="100"/>
      <c r="F84" s="101"/>
      <c r="G84" s="4"/>
      <c r="H84" s="6"/>
      <c r="I84" s="5"/>
    </row>
    <row r="85" spans="1:9" ht="35.15" customHeight="1" x14ac:dyDescent="0.35">
      <c r="A85" s="63" t="s">
        <v>57</v>
      </c>
      <c r="B85" s="100" t="s">
        <v>81</v>
      </c>
      <c r="C85" s="100"/>
      <c r="D85" s="100"/>
      <c r="E85" s="100"/>
      <c r="F85" s="101"/>
      <c r="G85" s="19" t="e">
        <f>AVERAGEIF(F86:F94, "&gt;=0")</f>
        <v>#DIV/0!</v>
      </c>
      <c r="H85" s="6"/>
      <c r="I85" s="5"/>
    </row>
    <row r="86" spans="1:9" s="42" customFormat="1" ht="40" customHeight="1" x14ac:dyDescent="0.35">
      <c r="A86" s="67"/>
      <c r="B86" s="50" t="s">
        <v>100</v>
      </c>
      <c r="C86" s="114" t="s">
        <v>113</v>
      </c>
      <c r="D86" s="115"/>
      <c r="E86" s="115"/>
      <c r="F86" s="4"/>
      <c r="G86" s="48"/>
      <c r="H86" s="48"/>
      <c r="I86" s="49"/>
    </row>
    <row r="87" spans="1:9" s="42" customFormat="1" ht="40" customHeight="1" x14ac:dyDescent="0.35">
      <c r="A87" s="67"/>
      <c r="B87" s="50" t="s">
        <v>101</v>
      </c>
      <c r="C87" s="114" t="s">
        <v>82</v>
      </c>
      <c r="D87" s="115"/>
      <c r="E87" s="115"/>
      <c r="F87" s="4"/>
      <c r="G87" s="48"/>
      <c r="H87" s="48"/>
      <c r="I87" s="49"/>
    </row>
    <row r="88" spans="1:9" s="42" customFormat="1" ht="40" customHeight="1" x14ac:dyDescent="0.35">
      <c r="A88" s="67"/>
      <c r="B88" s="50" t="s">
        <v>102</v>
      </c>
      <c r="C88" s="113" t="s">
        <v>83</v>
      </c>
      <c r="D88" s="116"/>
      <c r="E88" s="116"/>
      <c r="F88" s="4"/>
      <c r="G88" s="48"/>
      <c r="H88" s="48"/>
      <c r="I88" s="49"/>
    </row>
    <row r="89" spans="1:9" s="42" customFormat="1" ht="40" customHeight="1" x14ac:dyDescent="0.35">
      <c r="A89" s="67"/>
      <c r="B89" s="50" t="s">
        <v>103</v>
      </c>
      <c r="C89" s="113" t="s">
        <v>84</v>
      </c>
      <c r="D89" s="116"/>
      <c r="E89" s="116"/>
      <c r="F89" s="4"/>
      <c r="G89" s="48"/>
      <c r="H89" s="48"/>
      <c r="I89" s="49"/>
    </row>
    <row r="90" spans="1:9" s="42" customFormat="1" ht="40" customHeight="1" x14ac:dyDescent="0.35">
      <c r="A90" s="67"/>
      <c r="B90" s="50" t="s">
        <v>114</v>
      </c>
      <c r="C90" s="113" t="s">
        <v>85</v>
      </c>
      <c r="D90" s="116"/>
      <c r="E90" s="116"/>
      <c r="F90" s="51" t="e">
        <f>AVERAGEIF(E91:E93, "&gt;=0")</f>
        <v>#DIV/0!</v>
      </c>
      <c r="G90" s="48"/>
      <c r="H90" s="48"/>
      <c r="I90" s="49"/>
    </row>
    <row r="91" spans="1:9" s="42" customFormat="1" ht="40" customHeight="1" x14ac:dyDescent="0.35">
      <c r="A91" s="67"/>
      <c r="B91" s="46"/>
      <c r="C91" s="52" t="s">
        <v>115</v>
      </c>
      <c r="D91" s="53" t="s">
        <v>104</v>
      </c>
      <c r="E91" s="4"/>
      <c r="F91" s="49"/>
      <c r="G91" s="49"/>
      <c r="H91" s="48"/>
      <c r="I91" s="49"/>
    </row>
    <row r="92" spans="1:9" s="42" customFormat="1" ht="40" customHeight="1" x14ac:dyDescent="0.35">
      <c r="A92" s="67"/>
      <c r="B92" s="46"/>
      <c r="C92" s="52" t="s">
        <v>116</v>
      </c>
      <c r="D92" s="53" t="s">
        <v>105</v>
      </c>
      <c r="E92" s="4"/>
      <c r="F92" s="49"/>
      <c r="G92" s="49"/>
      <c r="H92" s="48"/>
      <c r="I92" s="49"/>
    </row>
    <row r="93" spans="1:9" s="42" customFormat="1" ht="40" customHeight="1" x14ac:dyDescent="0.35">
      <c r="A93" s="67"/>
      <c r="B93" s="46"/>
      <c r="C93" s="52" t="s">
        <v>117</v>
      </c>
      <c r="D93" s="53" t="s">
        <v>122</v>
      </c>
      <c r="E93" s="4"/>
      <c r="F93" s="49"/>
      <c r="G93" s="49"/>
      <c r="H93" s="48"/>
      <c r="I93" s="49"/>
    </row>
    <row r="94" spans="1:9" s="42" customFormat="1" ht="40" customHeight="1" x14ac:dyDescent="0.35">
      <c r="A94" s="67"/>
      <c r="B94" s="50" t="s">
        <v>118</v>
      </c>
      <c r="C94" s="113" t="s">
        <v>106</v>
      </c>
      <c r="D94" s="115"/>
      <c r="E94" s="116"/>
      <c r="F94" s="4"/>
      <c r="G94" s="49"/>
      <c r="H94" s="48"/>
      <c r="I94" s="49"/>
    </row>
    <row r="95" spans="1:9" ht="30" customHeight="1" x14ac:dyDescent="0.35">
      <c r="A95" s="62"/>
      <c r="B95" s="21"/>
      <c r="C95" s="36"/>
      <c r="D95" s="21"/>
      <c r="E95" s="21"/>
      <c r="F95" s="81"/>
      <c r="G95" s="21"/>
      <c r="H95" s="19" t="e">
        <f xml:space="preserve"> AVERAGEIF(G79:G85,"&gt;=0")</f>
        <v>#DIV/0!</v>
      </c>
      <c r="I95" s="37"/>
    </row>
    <row r="96" spans="1:9" ht="30" customHeight="1" x14ac:dyDescent="0.35">
      <c r="A96" s="102" t="s">
        <v>21</v>
      </c>
      <c r="B96" s="103"/>
      <c r="C96" s="103"/>
      <c r="D96" s="103"/>
      <c r="E96" s="103"/>
      <c r="F96" s="87"/>
      <c r="G96" s="55"/>
      <c r="H96" s="35"/>
      <c r="I96" s="55"/>
    </row>
    <row r="97" spans="1:9" ht="40" customHeight="1" x14ac:dyDescent="0.35">
      <c r="A97" s="63" t="s">
        <v>22</v>
      </c>
      <c r="B97" s="100" t="s">
        <v>86</v>
      </c>
      <c r="C97" s="100"/>
      <c r="D97" s="100"/>
      <c r="E97" s="100"/>
      <c r="F97" s="101"/>
      <c r="G97" s="4"/>
      <c r="H97" s="6"/>
      <c r="I97" s="5"/>
    </row>
    <row r="98" spans="1:9" ht="30" customHeight="1" x14ac:dyDescent="0.35">
      <c r="A98" s="64"/>
      <c r="B98" s="2"/>
      <c r="C98" s="24"/>
      <c r="D98" s="2"/>
      <c r="E98" s="2"/>
      <c r="F98" s="2"/>
      <c r="G98" s="31"/>
      <c r="H98" s="19" t="e">
        <f>AVERAGEIF(G97:G97, "&gt;=0")</f>
        <v>#DIV/0!</v>
      </c>
      <c r="I98" s="6"/>
    </row>
    <row r="99" spans="1:9" ht="30" customHeight="1" x14ac:dyDescent="0.35">
      <c r="A99" s="65"/>
      <c r="B99" s="21"/>
      <c r="C99" s="36"/>
      <c r="D99" s="21"/>
      <c r="E99" s="21"/>
      <c r="F99" s="47"/>
      <c r="G99" s="38"/>
      <c r="H99" s="13"/>
      <c r="I99" s="19" t="e">
        <f>AVERAGEIF($H$77:$H$98, "&gt;=0")</f>
        <v>#DIV/0!</v>
      </c>
    </row>
    <row r="100" spans="1:9" ht="30" customHeight="1" x14ac:dyDescent="0.35">
      <c r="A100" s="66"/>
      <c r="B100" s="2"/>
      <c r="C100" s="24"/>
      <c r="D100" s="2"/>
      <c r="E100" s="2"/>
      <c r="F100" s="2"/>
      <c r="G100" s="5"/>
      <c r="H100" s="26"/>
      <c r="I100" s="22"/>
    </row>
    <row r="101" spans="1:9" ht="35.15" customHeight="1" x14ac:dyDescent="0.35">
      <c r="A101" s="97" t="s">
        <v>87</v>
      </c>
      <c r="B101" s="98"/>
      <c r="C101" s="98"/>
      <c r="D101" s="98"/>
      <c r="E101" s="98"/>
      <c r="F101" s="99"/>
      <c r="G101" s="30"/>
      <c r="H101" s="30"/>
      <c r="I101" s="32"/>
    </row>
    <row r="102" spans="1:9" ht="35.15" customHeight="1" x14ac:dyDescent="0.35">
      <c r="A102" s="97" t="s">
        <v>11</v>
      </c>
      <c r="B102" s="98"/>
      <c r="C102" s="98"/>
      <c r="D102" s="98"/>
      <c r="E102" s="98"/>
      <c r="F102" s="99"/>
      <c r="G102" s="30"/>
      <c r="H102" s="30"/>
      <c r="I102" s="32"/>
    </row>
    <row r="103" spans="1:9" ht="40" customHeight="1" x14ac:dyDescent="0.35">
      <c r="A103" s="63" t="s">
        <v>12</v>
      </c>
      <c r="B103" s="105" t="s">
        <v>88</v>
      </c>
      <c r="C103" s="105"/>
      <c r="D103" s="105"/>
      <c r="E103" s="105"/>
      <c r="F103" s="106"/>
      <c r="G103" s="4"/>
      <c r="H103" s="6"/>
      <c r="I103" s="5"/>
    </row>
    <row r="104" spans="1:9" ht="40" customHeight="1" x14ac:dyDescent="0.35">
      <c r="A104" s="63" t="s">
        <v>13</v>
      </c>
      <c r="B104" s="100" t="s">
        <v>119</v>
      </c>
      <c r="C104" s="100"/>
      <c r="D104" s="100"/>
      <c r="E104" s="100"/>
      <c r="F104" s="101"/>
      <c r="G104" s="4"/>
      <c r="H104" s="6"/>
      <c r="I104" s="5"/>
    </row>
    <row r="105" spans="1:9" ht="40" customHeight="1" x14ac:dyDescent="0.35">
      <c r="A105" s="63" t="s">
        <v>14</v>
      </c>
      <c r="B105" s="100" t="s">
        <v>89</v>
      </c>
      <c r="C105" s="100"/>
      <c r="D105" s="100"/>
      <c r="E105" s="100"/>
      <c r="F105" s="101"/>
      <c r="G105" s="4"/>
      <c r="H105" s="6"/>
      <c r="I105" s="5"/>
    </row>
    <row r="106" spans="1:9" ht="30" customHeight="1" x14ac:dyDescent="0.35">
      <c r="A106" s="64"/>
      <c r="B106" s="2"/>
      <c r="C106" s="24"/>
      <c r="D106" s="2"/>
      <c r="E106" s="107"/>
      <c r="F106" s="107"/>
      <c r="G106" s="2"/>
      <c r="H106" s="54" t="e">
        <f>AVERAGEIF(G103:G105, "&gt;=0")</f>
        <v>#DIV/0!</v>
      </c>
      <c r="I106" s="5"/>
    </row>
    <row r="107" spans="1:9" ht="30" customHeight="1" x14ac:dyDescent="0.35">
      <c r="A107" s="88" t="s">
        <v>17</v>
      </c>
      <c r="B107" s="88"/>
      <c r="C107" s="88"/>
      <c r="D107" s="88"/>
      <c r="E107" s="88"/>
      <c r="F107" s="88"/>
      <c r="G107" s="55"/>
      <c r="H107" s="35"/>
      <c r="I107" s="55"/>
    </row>
    <row r="108" spans="1:9" ht="40" customHeight="1" x14ac:dyDescent="0.35">
      <c r="A108" s="63" t="s">
        <v>18</v>
      </c>
      <c r="B108" s="105" t="s">
        <v>90</v>
      </c>
      <c r="C108" s="105"/>
      <c r="D108" s="105"/>
      <c r="E108" s="105"/>
      <c r="F108" s="106"/>
      <c r="G108" s="4"/>
      <c r="H108" s="6"/>
      <c r="I108" s="5"/>
    </row>
    <row r="109" spans="1:9" ht="30" customHeight="1" x14ac:dyDescent="0.35">
      <c r="A109" s="64"/>
      <c r="B109" s="2"/>
      <c r="C109" s="24"/>
      <c r="D109" s="2"/>
      <c r="E109" s="2"/>
      <c r="F109" s="20"/>
      <c r="G109" s="2"/>
      <c r="H109" s="19" t="e">
        <f>AVERAGEIF(G108:G108, "&gt;=0")</f>
        <v>#DIV/0!</v>
      </c>
      <c r="I109" s="5"/>
    </row>
    <row r="110" spans="1:9" ht="30" customHeight="1" x14ac:dyDescent="0.35">
      <c r="A110" s="102" t="s">
        <v>21</v>
      </c>
      <c r="B110" s="103"/>
      <c r="C110" s="103"/>
      <c r="D110" s="103"/>
      <c r="E110" s="103"/>
      <c r="F110" s="87"/>
      <c r="G110" s="18"/>
      <c r="H110" s="6"/>
      <c r="I110" s="5"/>
    </row>
    <row r="111" spans="1:9" ht="40" customHeight="1" x14ac:dyDescent="0.35">
      <c r="A111" s="63" t="s">
        <v>22</v>
      </c>
      <c r="B111" s="100" t="s">
        <v>96</v>
      </c>
      <c r="C111" s="100"/>
      <c r="D111" s="100"/>
      <c r="E111" s="100"/>
      <c r="F111" s="101"/>
      <c r="G111" s="4"/>
      <c r="H111" s="6"/>
      <c r="I111" s="5"/>
    </row>
    <row r="112" spans="1:9" ht="30" customHeight="1" x14ac:dyDescent="0.35">
      <c r="A112" s="68"/>
      <c r="B112" s="33"/>
      <c r="C112" s="34"/>
      <c r="D112" s="33"/>
      <c r="E112" s="33"/>
      <c r="F112" s="33"/>
      <c r="G112" s="35"/>
      <c r="H112" s="19" t="e">
        <f>AVERAGEIF(G111:G111, "&gt;=0")</f>
        <v>#DIV/0!</v>
      </c>
      <c r="I112" s="6"/>
    </row>
    <row r="113" spans="1:10" ht="30" customHeight="1" x14ac:dyDescent="0.35">
      <c r="A113" s="65"/>
      <c r="B113" s="21"/>
      <c r="C113" s="36"/>
      <c r="D113" s="21"/>
      <c r="E113" s="21"/>
      <c r="F113" s="21"/>
      <c r="G113" s="21"/>
      <c r="H113" s="81"/>
      <c r="I113" s="19" t="e">
        <f>AVERAGEIF($H$106:$H$112, "&gt;=0")</f>
        <v>#DIV/0!</v>
      </c>
    </row>
    <row r="114" spans="1:10" s="79" customFormat="1" ht="30" customHeight="1" thickBot="1" x14ac:dyDescent="0.5">
      <c r="A114" s="75"/>
      <c r="B114" s="76"/>
      <c r="C114" s="77"/>
      <c r="D114" s="76"/>
      <c r="E114" s="78" t="s">
        <v>25</v>
      </c>
      <c r="F114" s="78"/>
      <c r="G114" s="78"/>
      <c r="H114" s="104" t="e">
        <f>AVERAGEIF(I56:I113, "&gt;=0")</f>
        <v>#DIV/0!</v>
      </c>
      <c r="I114" s="104"/>
      <c r="J114" s="76"/>
    </row>
    <row r="115" spans="1:10" ht="20.149999999999999" customHeight="1" thickTop="1" x14ac:dyDescent="0.35"/>
    <row r="120" spans="1:10" s="42" customFormat="1" ht="20.149999999999999" customHeight="1" x14ac:dyDescent="0.35">
      <c r="A120" s="108" t="s">
        <v>26</v>
      </c>
      <c r="B120" s="108"/>
      <c r="C120" s="108"/>
      <c r="D120" s="108"/>
      <c r="E120" s="39"/>
      <c r="F120" s="40"/>
      <c r="G120" s="40"/>
      <c r="H120" s="40"/>
      <c r="I120" s="41"/>
    </row>
    <row r="121" spans="1:10" s="42" customFormat="1" ht="20.149999999999999" customHeight="1" x14ac:dyDescent="0.35">
      <c r="A121" s="69"/>
      <c r="C121" s="43"/>
    </row>
    <row r="122" spans="1:10" s="42" customFormat="1" ht="30" customHeight="1" x14ac:dyDescent="0.35">
      <c r="A122" s="109" t="s">
        <v>28</v>
      </c>
      <c r="B122" s="109"/>
      <c r="C122" s="109"/>
      <c r="D122" s="109"/>
      <c r="E122" s="96" t="s">
        <v>27</v>
      </c>
      <c r="F122" s="96"/>
      <c r="G122" s="96" t="s">
        <v>29</v>
      </c>
      <c r="H122" s="96"/>
      <c r="I122" s="96"/>
    </row>
    <row r="123" spans="1:10" s="42" customFormat="1" ht="25" customHeight="1" x14ac:dyDescent="0.35">
      <c r="A123" s="70" t="s">
        <v>1</v>
      </c>
      <c r="B123" s="94" t="s">
        <v>43</v>
      </c>
      <c r="C123" s="95"/>
      <c r="D123" s="95"/>
      <c r="E123" s="89" t="e">
        <f>AVERAGEIF($H$37:$H$55, "&gt;=0")</f>
        <v>#DIV/0!</v>
      </c>
      <c r="F123" s="89"/>
      <c r="G123" s="90" t="e">
        <f>IF(E123&gt;4.49,"Excellent",IF(E123&gt;3.49,"Very Satisfactory",IF(E123&gt;2.49,"Satisfactory",IF(E123&gt;1.49,"Fair","Poor"))))</f>
        <v>#DIV/0!</v>
      </c>
      <c r="H123" s="90"/>
      <c r="I123" s="90"/>
    </row>
    <row r="124" spans="1:10" s="42" customFormat="1" ht="25" customHeight="1" x14ac:dyDescent="0.35">
      <c r="A124" s="71" t="s">
        <v>2</v>
      </c>
      <c r="B124" s="94" t="s">
        <v>44</v>
      </c>
      <c r="C124" s="95"/>
      <c r="D124" s="95"/>
      <c r="E124" s="89" t="e">
        <f>AVERAGEIF($H$62:$H$70, "&gt;=0")</f>
        <v>#DIV/0!</v>
      </c>
      <c r="F124" s="89"/>
      <c r="G124" s="90" t="e">
        <f>IF(E124&gt;4.49,"Excellent",IF(E124&gt;3.49,"Very Satisfactory",IF(E124&gt;2.49,"Satisfactory",IF(E124&gt;1.49,"Fair","Poor"))))</f>
        <v>#DIV/0!</v>
      </c>
      <c r="H124" s="90"/>
      <c r="I124" s="90"/>
    </row>
    <row r="125" spans="1:10" s="42" customFormat="1" ht="25" customHeight="1" x14ac:dyDescent="0.35">
      <c r="A125" s="71" t="s">
        <v>38</v>
      </c>
      <c r="B125" s="87" t="s">
        <v>45</v>
      </c>
      <c r="C125" s="88"/>
      <c r="D125" s="88"/>
      <c r="E125" s="89" t="e">
        <f>AVERAGEIF($H$77:$H$98, "&gt;=0")</f>
        <v>#DIV/0!</v>
      </c>
      <c r="F125" s="89"/>
      <c r="G125" s="90" t="e">
        <f t="shared" ref="G125:G126" si="0">IF(E125&gt;4.49,"Excellent",IF(E125&gt;3.49,"Very Satisfactory",IF(E125&gt;2.49,"Satisfactory",IF(E125&gt;1.49,"Fair","Poor"))))</f>
        <v>#DIV/0!</v>
      </c>
      <c r="H125" s="90"/>
      <c r="I125" s="90"/>
    </row>
    <row r="126" spans="1:10" s="42" customFormat="1" ht="25" customHeight="1" x14ac:dyDescent="0.35">
      <c r="A126" s="71" t="s">
        <v>39</v>
      </c>
      <c r="B126" s="87" t="s">
        <v>46</v>
      </c>
      <c r="C126" s="88"/>
      <c r="D126" s="88"/>
      <c r="E126" s="89" t="e">
        <f>AVERAGEIF($H$106:$H$112, "&gt;=0")</f>
        <v>#DIV/0!</v>
      </c>
      <c r="F126" s="89"/>
      <c r="G126" s="90" t="e">
        <f t="shared" si="0"/>
        <v>#DIV/0!</v>
      </c>
      <c r="H126" s="90"/>
      <c r="I126" s="90"/>
    </row>
    <row r="127" spans="1:10" s="42" customFormat="1" ht="30" customHeight="1" thickBot="1" x14ac:dyDescent="0.5">
      <c r="A127" s="69"/>
      <c r="E127" s="91">
        <f>SUMIF(E123:E126,"&gt;=0")</f>
        <v>0</v>
      </c>
      <c r="F127" s="91"/>
      <c r="G127"/>
      <c r="J127" s="56"/>
    </row>
    <row r="128" spans="1:10" s="42" customFormat="1" ht="30" customHeight="1" thickBot="1" x14ac:dyDescent="0.4">
      <c r="A128" s="69"/>
      <c r="C128" s="43"/>
      <c r="D128" s="44" t="s">
        <v>92</v>
      </c>
      <c r="E128" s="92" t="e">
        <f>AVERAGEIF(E123:E126,"&gt;=0")</f>
        <v>#DIV/0!</v>
      </c>
      <c r="F128" s="92"/>
      <c r="G128" s="93" t="e">
        <f>IF(E128&gt;4.49,"Excellent",IF(E128&gt;3.49,"Very Satisfactory",IF(E128&gt;2.49,"Satisfactory",IF(E128&gt;1.49,"Fair","Poor"))))</f>
        <v>#DIV/0!</v>
      </c>
      <c r="H128" s="93"/>
      <c r="I128" s="93"/>
      <c r="J128" s="56"/>
    </row>
    <row r="130" spans="4:4" ht="20.149999999999999" customHeight="1" x14ac:dyDescent="0.35">
      <c r="D130" s="45" t="s">
        <v>107</v>
      </c>
    </row>
    <row r="131" spans="4:4" ht="30" customHeight="1" x14ac:dyDescent="0.35">
      <c r="D131" s="85"/>
    </row>
    <row r="132" spans="4:4" ht="30" customHeight="1" x14ac:dyDescent="0.35">
      <c r="D132" s="86"/>
    </row>
  </sheetData>
  <sheetProtection algorithmName="SHA-512" hashValue="zvR3jMWFo2c8ls/fr4H5Uz7QUHMs7UmL9eV/NsfvvAi5sZ9KwB8W88FhZXyaO6KNL+gohbwaO2+RboFYUL6t4g==" saltValue="dAtPJ+SB501vKeORS+rkDA==" spinCount="100000" sheet="1" objects="1" scenarios="1"/>
  <mergeCells count="107">
    <mergeCell ref="A68:F68"/>
    <mergeCell ref="A53:F53"/>
    <mergeCell ref="B51:F51"/>
    <mergeCell ref="A78:F78"/>
    <mergeCell ref="B79:F79"/>
    <mergeCell ref="B84:F84"/>
    <mergeCell ref="B54:F54"/>
    <mergeCell ref="B97:F97"/>
    <mergeCell ref="A74:F74"/>
    <mergeCell ref="B75:F75"/>
    <mergeCell ref="A57:F57"/>
    <mergeCell ref="A58:F58"/>
    <mergeCell ref="B59:F59"/>
    <mergeCell ref="C90:E90"/>
    <mergeCell ref="C94:E94"/>
    <mergeCell ref="B60:F60"/>
    <mergeCell ref="B61:F61"/>
    <mergeCell ref="E62:F62"/>
    <mergeCell ref="A63:F63"/>
    <mergeCell ref="B69:F69"/>
    <mergeCell ref="B64:F64"/>
    <mergeCell ref="B65:F65"/>
    <mergeCell ref="B66:F66"/>
    <mergeCell ref="A29:F29"/>
    <mergeCell ref="B35:F35"/>
    <mergeCell ref="A6:C6"/>
    <mergeCell ref="A26:I26"/>
    <mergeCell ref="B7:D7"/>
    <mergeCell ref="B8:D8"/>
    <mergeCell ref="A21:C21"/>
    <mergeCell ref="B9:D9"/>
    <mergeCell ref="A18:B18"/>
    <mergeCell ref="C18:H18"/>
    <mergeCell ref="B10:D10"/>
    <mergeCell ref="B11:D11"/>
    <mergeCell ref="B12:D12"/>
    <mergeCell ref="C17:H17"/>
    <mergeCell ref="C20:H20"/>
    <mergeCell ref="D21:H21"/>
    <mergeCell ref="A17:B17"/>
    <mergeCell ref="A19:B19"/>
    <mergeCell ref="B13:D13"/>
    <mergeCell ref="A20:B20"/>
    <mergeCell ref="C19:H19"/>
    <mergeCell ref="A96:F96"/>
    <mergeCell ref="B104:F104"/>
    <mergeCell ref="B80:F80"/>
    <mergeCell ref="B82:F82"/>
    <mergeCell ref="A27:F27"/>
    <mergeCell ref="B34:F34"/>
    <mergeCell ref="B32:F32"/>
    <mergeCell ref="B33:F33"/>
    <mergeCell ref="B36:F36"/>
    <mergeCell ref="B40:F40"/>
    <mergeCell ref="B49:F49"/>
    <mergeCell ref="B50:F50"/>
    <mergeCell ref="B30:F30"/>
    <mergeCell ref="A39:F39"/>
    <mergeCell ref="B41:F41"/>
    <mergeCell ref="B42:F42"/>
    <mergeCell ref="B43:F43"/>
    <mergeCell ref="B44:F44"/>
    <mergeCell ref="B45:F45"/>
    <mergeCell ref="B46:F46"/>
    <mergeCell ref="B47:F47"/>
    <mergeCell ref="B31:F31"/>
    <mergeCell ref="B48:F48"/>
    <mergeCell ref="A28:F28"/>
    <mergeCell ref="B83:F83"/>
    <mergeCell ref="A73:F73"/>
    <mergeCell ref="E77:F77"/>
    <mergeCell ref="B76:F76"/>
    <mergeCell ref="B81:F81"/>
    <mergeCell ref="C86:E86"/>
    <mergeCell ref="C87:E87"/>
    <mergeCell ref="C88:E88"/>
    <mergeCell ref="C89:E89"/>
    <mergeCell ref="B85:F85"/>
    <mergeCell ref="G122:I122"/>
    <mergeCell ref="B123:D123"/>
    <mergeCell ref="E123:F123"/>
    <mergeCell ref="G123:I123"/>
    <mergeCell ref="A101:F101"/>
    <mergeCell ref="A102:F102"/>
    <mergeCell ref="B111:F111"/>
    <mergeCell ref="A110:F110"/>
    <mergeCell ref="H114:I114"/>
    <mergeCell ref="B103:F103"/>
    <mergeCell ref="B108:F108"/>
    <mergeCell ref="A107:F107"/>
    <mergeCell ref="E106:F106"/>
    <mergeCell ref="A120:D120"/>
    <mergeCell ref="A122:D122"/>
    <mergeCell ref="E122:F122"/>
    <mergeCell ref="B105:F105"/>
    <mergeCell ref="B126:D126"/>
    <mergeCell ref="E126:F126"/>
    <mergeCell ref="G126:I126"/>
    <mergeCell ref="E127:F127"/>
    <mergeCell ref="E128:F128"/>
    <mergeCell ref="G128:I128"/>
    <mergeCell ref="B124:D124"/>
    <mergeCell ref="E124:F124"/>
    <mergeCell ref="G124:I124"/>
    <mergeCell ref="B125:D125"/>
    <mergeCell ref="E125:F125"/>
    <mergeCell ref="G125:I125"/>
  </mergeCells>
  <phoneticPr fontId="5" type="noConversion"/>
  <conditionalFormatting sqref="A31:A34">
    <cfRule type="duplicateValues" dxfId="2" priority="77"/>
  </conditionalFormatting>
  <conditionalFormatting sqref="A35:A36">
    <cfRule type="duplicateValues" dxfId="1" priority="1"/>
  </conditionalFormatting>
  <conditionalFormatting sqref="A37:A38 A30">
    <cfRule type="duplicateValues" dxfId="0" priority="93"/>
  </conditionalFormatting>
  <dataValidations disablePrompts="1" xWindow="607" yWindow="368" count="1">
    <dataValidation type="whole" allowBlank="1" showInputMessage="1" showErrorMessage="1" prompt="Varied entries are 0, 1, 2, 3, 4, or 5. If the Statement is Not Applicable, please leave it Blank" sqref="M30:M36" xr:uid="{00000000-0002-0000-0000-000000000000}">
      <formula1>0</formula1>
      <formula2>5</formula2>
    </dataValidation>
  </dataValidations>
  <pageMargins left="0.70866141732283472" right="0.31496062992125984" top="0.74803149606299213" bottom="0.74803149606299213" header="0.31496062992125984" footer="0.31496062992125984"/>
  <pageSetup orientation="portrait" r:id="rId1"/>
  <headerFooter differentFirst="1">
    <oddFooter>&amp;L&amp;"-,Italic"AACCUP, Inc.&amp;R&amp;"-,Italic"Master Survey Instrument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xWindow="607" yWindow="368" count="2">
        <x14:dataValidation type="list" allowBlank="1" showInputMessage="1" showErrorMessage="1" error="Error! Please click ▼ to input rating" prompt="Please click ▼ to input rating" xr:uid="{00000000-0002-0000-0000-000002000000}">
          <x14:formula1>
            <xm:f>'Descriptive Rating'!$B$11:$B$17</xm:f>
          </x14:formula1>
          <xm:sqref>G111 G40:G51 G108 G54 G69 G59:G61 G79:G84 G97 G75:G76 G103:G105 G64:G66 F86:F89 E91:E93 F94 G30:G36</xm:sqref>
        </x14:dataValidation>
        <x14:dataValidation type="list" allowBlank="1" showInputMessage="1" showErrorMessage="1" xr:uid="{00000000-0002-0000-0000-000001000000}">
          <x14:formula1>
            <xm:f>'Descriptive Rating'!$B$11:$B$17</xm:f>
          </x14:formula1>
          <xm:sqref>F115:F119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7"/>
  <sheetViews>
    <sheetView workbookViewId="0">
      <selection activeCell="B11" sqref="B11:B17"/>
    </sheetView>
  </sheetViews>
  <sheetFormatPr defaultRowHeight="14.5" x14ac:dyDescent="0.35"/>
  <cols>
    <col min="1" max="1" width="6.7265625" customWidth="1"/>
    <col min="3" max="4" width="8.7265625" customWidth="1"/>
    <col min="5" max="5" width="20.7265625" customWidth="1"/>
  </cols>
  <sheetData>
    <row r="2" spans="2:5" ht="20.149999999999999" customHeight="1" x14ac:dyDescent="0.35">
      <c r="B2" s="9" t="s">
        <v>30</v>
      </c>
      <c r="C2" s="109" t="s">
        <v>31</v>
      </c>
      <c r="D2" s="109"/>
      <c r="E2" s="10" t="s">
        <v>32</v>
      </c>
    </row>
    <row r="3" spans="2:5" ht="20.149999999999999" customHeight="1" x14ac:dyDescent="0.35">
      <c r="B3" s="8"/>
      <c r="C3" s="8"/>
      <c r="D3" s="8"/>
      <c r="E3" s="8"/>
    </row>
    <row r="4" spans="2:5" ht="20.149999999999999" customHeight="1" x14ac:dyDescent="0.35">
      <c r="B4" s="11">
        <v>1</v>
      </c>
      <c r="C4" s="12">
        <v>1</v>
      </c>
      <c r="D4" s="12">
        <v>1.49</v>
      </c>
      <c r="E4" s="11" t="s">
        <v>33</v>
      </c>
    </row>
    <row r="5" spans="2:5" ht="20.149999999999999" customHeight="1" x14ac:dyDescent="0.35">
      <c r="B5" s="11">
        <v>2</v>
      </c>
      <c r="C5" s="12">
        <v>1.5</v>
      </c>
      <c r="D5" s="12">
        <v>2.4900000000000002</v>
      </c>
      <c r="E5" s="11" t="s">
        <v>34</v>
      </c>
    </row>
    <row r="6" spans="2:5" ht="20.149999999999999" customHeight="1" x14ac:dyDescent="0.35">
      <c r="B6" s="11">
        <v>3</v>
      </c>
      <c r="C6" s="12">
        <v>2.5</v>
      </c>
      <c r="D6" s="12">
        <v>3.49</v>
      </c>
      <c r="E6" s="11" t="s">
        <v>35</v>
      </c>
    </row>
    <row r="7" spans="2:5" ht="20.149999999999999" customHeight="1" x14ac:dyDescent="0.35">
      <c r="B7" s="11">
        <v>4</v>
      </c>
      <c r="C7" s="12">
        <v>3.5</v>
      </c>
      <c r="D7" s="12">
        <v>4.49</v>
      </c>
      <c r="E7" s="11" t="s">
        <v>36</v>
      </c>
    </row>
    <row r="8" spans="2:5" ht="20.149999999999999" customHeight="1" x14ac:dyDescent="0.35">
      <c r="B8" s="11">
        <v>5</v>
      </c>
      <c r="C8" s="12">
        <v>4.5</v>
      </c>
      <c r="D8" s="12">
        <v>5</v>
      </c>
      <c r="E8" s="11" t="s">
        <v>37</v>
      </c>
    </row>
    <row r="11" spans="2:5" x14ac:dyDescent="0.35">
      <c r="B11" t="s">
        <v>91</v>
      </c>
    </row>
    <row r="12" spans="2:5" x14ac:dyDescent="0.35">
      <c r="B12">
        <v>0</v>
      </c>
    </row>
    <row r="13" spans="2:5" x14ac:dyDescent="0.35">
      <c r="B13">
        <v>1</v>
      </c>
    </row>
    <row r="14" spans="2:5" x14ac:dyDescent="0.35">
      <c r="B14">
        <v>2</v>
      </c>
    </row>
    <row r="15" spans="2:5" x14ac:dyDescent="0.35">
      <c r="B15">
        <v>3</v>
      </c>
    </row>
    <row r="16" spans="2:5" x14ac:dyDescent="0.35">
      <c r="B16">
        <v>4</v>
      </c>
    </row>
    <row r="17" spans="2:2" x14ac:dyDescent="0.35">
      <c r="B17">
        <v>5</v>
      </c>
    </row>
  </sheetData>
  <sheetProtection algorithmName="SHA-512" hashValue="HverS/ZvIvteZE6MENDn53RS8nPXW1iqAaWt5N97CtHLWVjuJTtHOFaGRmydKY/8aMv/NOZclO636wVSz9iHyw==" saltValue="ZgSYo+fdUxcAxPRchYe0mg==" spinCount="100000" sheet="1" objects="1" scenarios="1"/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Area</vt:lpstr>
      <vt:lpstr>Descriptive 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AACCUPStaff</dc:creator>
  <cp:lastModifiedBy>TechSupport</cp:lastModifiedBy>
  <cp:lastPrinted>2021-02-04T08:05:46Z</cp:lastPrinted>
  <dcterms:created xsi:type="dcterms:W3CDTF">2020-11-10T00:40:18Z</dcterms:created>
  <dcterms:modified xsi:type="dcterms:W3CDTF">2021-09-17T07:09:56Z</dcterms:modified>
</cp:coreProperties>
</file>