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chSupport\Documents\OBQAAutoComputeInstruments\Checked\Jimson\MasterSurveyInstrument\"/>
    </mc:Choice>
  </mc:AlternateContent>
  <xr:revisionPtr revIDLastSave="0" documentId="13_ncr:1_{B63112B4-C426-4A4C-ABE8-B07701E57EB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Area" sheetId="1" r:id="rId1"/>
    <sheet name="Descriptive Rating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1" i="1" l="1"/>
  <c r="E220" i="1"/>
  <c r="H200" i="1"/>
  <c r="H187" i="1"/>
  <c r="H96" i="1" l="1"/>
  <c r="H66" i="1" l="1"/>
  <c r="H69" i="1"/>
  <c r="H92" i="1"/>
  <c r="H102" i="1"/>
  <c r="H125" i="1"/>
  <c r="H169" i="1"/>
  <c r="H173" i="1"/>
  <c r="H179" i="1"/>
  <c r="H184" i="1"/>
  <c r="H193" i="1"/>
  <c r="H197" i="1"/>
  <c r="G141" i="1"/>
  <c r="H166" i="1" s="1"/>
  <c r="G104" i="1"/>
  <c r="H121" i="1" s="1"/>
  <c r="G75" i="1"/>
  <c r="H82" i="1" s="1"/>
  <c r="G59" i="1"/>
  <c r="G56" i="1"/>
  <c r="H51" i="1"/>
  <c r="G40" i="1"/>
  <c r="H47" i="1" s="1"/>
  <c r="H37" i="1"/>
  <c r="I201" i="1" l="1"/>
  <c r="E219" i="1"/>
  <c r="G219" i="1" s="1"/>
  <c r="I188" i="1"/>
  <c r="E218" i="1"/>
  <c r="G218" i="1" s="1"/>
  <c r="E217" i="1"/>
  <c r="G217" i="1" s="1"/>
  <c r="I174" i="1"/>
  <c r="I126" i="1"/>
  <c r="E216" i="1"/>
  <c r="I52" i="1"/>
  <c r="E213" i="1"/>
  <c r="E215" i="1"/>
  <c r="G215" i="1" s="1"/>
  <c r="I97" i="1"/>
  <c r="H63" i="1"/>
  <c r="G216" i="1" l="1"/>
  <c r="I70" i="1"/>
  <c r="H203" i="1" s="1"/>
  <c r="E214" i="1"/>
  <c r="G214" i="1" s="1"/>
  <c r="G213" i="1"/>
  <c r="G221" i="1" l="1"/>
</calcChain>
</file>

<file path=xl/sharedStrings.xml><?xml version="1.0" encoding="utf-8"?>
<sst xmlns="http://schemas.openxmlformats.org/spreadsheetml/2006/main" count="298" uniqueCount="221">
  <si>
    <t>PARAMETERS</t>
  </si>
  <si>
    <t>A.</t>
  </si>
  <si>
    <t>B.</t>
  </si>
  <si>
    <t>Program:</t>
  </si>
  <si>
    <t>SUC:</t>
  </si>
  <si>
    <t>Campus:</t>
  </si>
  <si>
    <t>Date of Actual Survey:</t>
  </si>
  <si>
    <t>Indicators</t>
  </si>
  <si>
    <t>Item Rating (IR)</t>
  </si>
  <si>
    <t>System – Implementation – Outcome  Mean (SIOM)</t>
  </si>
  <si>
    <t>Parameter Mean (PM)</t>
  </si>
  <si>
    <t>SYSTEM – INPUTS AND PROCESSES</t>
  </si>
  <si>
    <t>S.1</t>
  </si>
  <si>
    <t>S.2</t>
  </si>
  <si>
    <t>S.3</t>
  </si>
  <si>
    <t>S.4</t>
  </si>
  <si>
    <t>S.5</t>
  </si>
  <si>
    <t>IMPLEMENTATION</t>
  </si>
  <si>
    <t>I.1</t>
  </si>
  <si>
    <t>I.2</t>
  </si>
  <si>
    <t>I.3</t>
  </si>
  <si>
    <t>OUTCOME/S</t>
  </si>
  <si>
    <t>O.1</t>
  </si>
  <si>
    <t>I.4</t>
  </si>
  <si>
    <t>I.5</t>
  </si>
  <si>
    <t>Area Mean: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</si>
  <si>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</si>
  <si>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</si>
  <si>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</si>
  <si>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</si>
  <si>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</si>
  <si>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</si>
  <si>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</si>
  <si>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</si>
  <si>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C.</t>
  </si>
  <si>
    <t>D.</t>
  </si>
  <si>
    <t>E.</t>
  </si>
  <si>
    <t>I.6</t>
  </si>
  <si>
    <t>S.6</t>
  </si>
  <si>
    <t>I.7</t>
  </si>
  <si>
    <t>I.8</t>
  </si>
  <si>
    <t>S.7</t>
  </si>
  <si>
    <t>Level</t>
  </si>
  <si>
    <t>S.8</t>
  </si>
  <si>
    <t>S.9</t>
  </si>
  <si>
    <t>S.10</t>
  </si>
  <si>
    <t>S.11</t>
  </si>
  <si>
    <t>S.12</t>
  </si>
  <si>
    <t>S.13</t>
  </si>
  <si>
    <t>S.14</t>
  </si>
  <si>
    <t>AREA VII</t>
  </si>
  <si>
    <t>LIBRARY</t>
  </si>
  <si>
    <t>Administration</t>
  </si>
  <si>
    <t>Collection Development, Organization and Preservation</t>
  </si>
  <si>
    <t>Services and Utilization</t>
  </si>
  <si>
    <t xml:space="preserve">Physical Set-up and Facilities </t>
  </si>
  <si>
    <t>Linkages</t>
  </si>
  <si>
    <t>Financial Support</t>
  </si>
  <si>
    <t>F.</t>
  </si>
  <si>
    <t>G.</t>
  </si>
  <si>
    <t>PARAMETER A: ADMINISTRATION</t>
  </si>
  <si>
    <t>The organizational structure of the library is well-defined.</t>
  </si>
  <si>
    <t>The development of the library goals and objectives is the responsibility of the library head and staff with the approval of the Head of the institution.</t>
  </si>
  <si>
    <t>There is a Library Board/Committee which sets library policies, rules and procedures and periodically reviews them.</t>
  </si>
  <si>
    <t>There is a duly approved and widely disseminated Library Manual or written policies and procedures covering the library’s internal administration and operation.</t>
  </si>
  <si>
    <t>The  library develops  an explicit  statement  of its goals and objectives in conformity with the mandate of the  institution.</t>
  </si>
  <si>
    <t xml:space="preserve">The library is administered and supervised by: </t>
  </si>
  <si>
    <t>I.2.1</t>
  </si>
  <si>
    <t>I.2.2</t>
  </si>
  <si>
    <t>a full-time professional licensed librarian; and</t>
  </si>
  <si>
    <t>at least a master’s degree holder in MS Library and Information Science or MAEd/MA in Library Science.</t>
  </si>
  <si>
    <t>The Head Librarian directs  and supervises the total operation of the library and is responsible for the administration  of its resources and services.</t>
  </si>
  <si>
    <t>The Head Librarian,  preferably  with an academic rank, actively participates in the academic and  administrative activities of the institution.</t>
  </si>
  <si>
    <t>The annual accomplishments and other reports of the library are promptly submitted to the higher offices concerned.</t>
  </si>
  <si>
    <t xml:space="preserve">A library development plan is prepared in consultation with the institution’s officials and stakeholders.  </t>
  </si>
  <si>
    <t>The goals and objectives of the Library are satisfactorily attained.</t>
  </si>
  <si>
    <t>O.2</t>
  </si>
  <si>
    <t>The library organizational structure is well-designed and effectively implemented.</t>
  </si>
  <si>
    <t>PARAMETER B: ADMINISTRATIVE STAFF</t>
  </si>
  <si>
    <t>The library has staff with the following qualifications:</t>
  </si>
  <si>
    <t>S.1.1</t>
  </si>
  <si>
    <t>S.1.2</t>
  </si>
  <si>
    <t>S.2.1</t>
  </si>
  <si>
    <t>S.2.2</t>
  </si>
  <si>
    <t>MS in Library and Information Science or MAED/MA in Library Science)  for the Institution.</t>
  </si>
  <si>
    <t>The library meets the required number of qualified and licensed librarians and staff to meet the needs of the school population with the ratio of:</t>
  </si>
  <si>
    <t>one (1) Licensed Librarian with two (2) full time staff for the first   500 - student population; and</t>
  </si>
  <si>
    <t>one (1) additional full time Professional  Librarian with  one (1) full time staff for every additional 1,000 students.</t>
  </si>
  <si>
    <t>There is a continuing staff development program with the corresponding financial assistance from the institution.</t>
  </si>
  <si>
    <t>The librarians are qualified.</t>
  </si>
  <si>
    <t>PARAMETER C: COLLECTION DEVELOPMENT, ORGANIZATION AND PRESERVATION</t>
  </si>
  <si>
    <t>There is a written Collection Development Policy.</t>
  </si>
  <si>
    <t xml:space="preserve">There is a core collection of at least: </t>
  </si>
  <si>
    <t>5,000 titles for the Academic Unit Library; or</t>
  </si>
  <si>
    <t>10,000 titles that support the instruction, research and other programs for an Institution Library.</t>
  </si>
  <si>
    <t>Twenty percent (20%) of the library holdings are of current edition, i.e. with copyright within the last 5 years.</t>
  </si>
  <si>
    <t>The Non-print, digital and electronic resources are available.</t>
  </si>
  <si>
    <t>There is an integrated library system.</t>
  </si>
  <si>
    <t>There are provisions for the preservation, general care, and upkeep of library resources.</t>
  </si>
  <si>
    <t>The Collection Development Policy is regularly reviewed and evaluated by the Library Committee.</t>
  </si>
  <si>
    <t>The library collection and services support the mission and vision of the Institution, goals of the Academic Unit and objectives of the Program.</t>
  </si>
  <si>
    <t>The library provides sufficient research books and materials to supplement the clients’ curricular needs.</t>
  </si>
  <si>
    <t>The library maintains an extensive (15% of the total) Filipiniana collection.</t>
  </si>
  <si>
    <t>The library provides 3-5 book/journal titles for professional subjects in the major fields of specialization.</t>
  </si>
  <si>
    <t>The library collection is organized according to an accepted scheme of classification and standard code of cataloging.</t>
  </si>
  <si>
    <t>Regular weeding-out program is conducted to maintain a relevant and updated collection.</t>
  </si>
  <si>
    <t>The quality and quantity of library materials and resources conform with the standards set for a particular academic program.</t>
  </si>
  <si>
    <t>The library core collection is adequate, updated and well-balanced.</t>
  </si>
  <si>
    <t xml:space="preserve">The professional books, journals and electronic resources for the program are sufficient. </t>
  </si>
  <si>
    <t>PARAMETER D: SERVICES AND UTILIZATION</t>
  </si>
  <si>
    <t>The Library has information services pertinent to the institution’s requirements.</t>
  </si>
  <si>
    <t>The following services/programs are provided:</t>
  </si>
  <si>
    <t>integrated library system;</t>
  </si>
  <si>
    <t>functional and interactive library web page;</t>
  </si>
  <si>
    <t>I.1.1</t>
  </si>
  <si>
    <t>I.1.2</t>
  </si>
  <si>
    <t>I.1.3</t>
  </si>
  <si>
    <t>I.1.4</t>
  </si>
  <si>
    <t>I.1.5</t>
  </si>
  <si>
    <t>I.1.6</t>
  </si>
  <si>
    <t>I.1.7</t>
  </si>
  <si>
    <t>I.1.8</t>
  </si>
  <si>
    <t>I.1.9</t>
  </si>
  <si>
    <t>I.1.10</t>
  </si>
  <si>
    <t>I.1.11</t>
  </si>
  <si>
    <t>I.1.12</t>
  </si>
  <si>
    <t>On-line public access (OPAC);</t>
  </si>
  <si>
    <t>circulation on-line;</t>
  </si>
  <si>
    <t>computerized cataloging;</t>
  </si>
  <si>
    <t>inventory reporting;</t>
  </si>
  <si>
    <t>serials control;</t>
  </si>
  <si>
    <t>internet searching;</t>
  </si>
  <si>
    <t>CD-ROM;</t>
  </si>
  <si>
    <t>on-line database;</t>
  </si>
  <si>
    <t>photocopying; and</t>
  </si>
  <si>
    <t>The library opens  at least 54 hours per week for the Academic Unit or 60 hours per week for the Institution.</t>
  </si>
  <si>
    <t>The library promotes and disseminates its program through a regular announcement of its new acquisitions of print materials (books, journals, magazines), resources, facilities, and services.</t>
  </si>
  <si>
    <t>Librarians and staff are available during library hours to assist and provide library services.</t>
  </si>
  <si>
    <t>Statistical data on the utilization of various resources and services are compiled and used to improve the library collection and operations.</t>
  </si>
  <si>
    <t>The library services are efficiently and effectively provided.</t>
  </si>
  <si>
    <t>The library users are satisfied with library services.</t>
  </si>
  <si>
    <t>PARAMETER E: PHYSICAL SET-UP AND FACILITIES</t>
  </si>
  <si>
    <t>The library is strategically located and accessible to students, faculty and other clientele.</t>
  </si>
  <si>
    <t>Location and site</t>
  </si>
  <si>
    <t>The library is systematically planned to allow future expansion.</t>
  </si>
  <si>
    <t>The size of the  library meets standard requirements considering present enrollment and future expansion.</t>
  </si>
  <si>
    <t>Space Requirement</t>
  </si>
  <si>
    <t>Space is provided for print resources as well as work stations for electronic resources.</t>
  </si>
  <si>
    <t>Space is provided for the librarians’ office, staff room, technical room, etc.</t>
  </si>
  <si>
    <t>Ramps for the physically disabled are provided.</t>
  </si>
  <si>
    <t>The library meets the required and standard-sized furniture and equipment.</t>
  </si>
  <si>
    <t>The following library furniture and equipment are available:</t>
  </si>
  <si>
    <t>The library is well-lighted.</t>
  </si>
  <si>
    <t>The library is well-ventilated</t>
  </si>
  <si>
    <t>Physical Provisions for Reading</t>
  </si>
  <si>
    <t>The atmosphere is conducive to learning.</t>
  </si>
  <si>
    <t>Security/Control</t>
  </si>
  <si>
    <t>Fire extinguishers and a local fire alarm system are available.</t>
  </si>
  <si>
    <t>The library employs a system for security and control of library resources.</t>
  </si>
  <si>
    <t>Furniture and Equipment</t>
  </si>
  <si>
    <t>bar coding.</t>
  </si>
  <si>
    <t>S.9.1</t>
  </si>
  <si>
    <t>S.9.2</t>
  </si>
  <si>
    <t>S.9.3</t>
  </si>
  <si>
    <t>S.9.4</t>
  </si>
  <si>
    <t>S.9.5</t>
  </si>
  <si>
    <t>S.9.6</t>
  </si>
  <si>
    <t>S.9.7</t>
  </si>
  <si>
    <t>S.9.8</t>
  </si>
  <si>
    <t>S.9.9</t>
  </si>
  <si>
    <t>S.9.10</t>
  </si>
  <si>
    <t>S.9.11</t>
  </si>
  <si>
    <t>S.9.12</t>
  </si>
  <si>
    <t>adjustable/movable shelves;</t>
  </si>
  <si>
    <t>magazine display shelves;</t>
  </si>
  <si>
    <t>newspaper racks;</t>
  </si>
  <si>
    <t>standard tables and chairs;</t>
  </si>
  <si>
    <t>carrels for individual study;</t>
  </si>
  <si>
    <t>desks and chairs for staff;</t>
  </si>
  <si>
    <t>charging desk;</t>
  </si>
  <si>
    <t>dictionary stand;</t>
  </si>
  <si>
    <t>atlas stand;</t>
  </si>
  <si>
    <t>bulletin boards and display cabinets;</t>
  </si>
  <si>
    <t>vertical file cabinets;</t>
  </si>
  <si>
    <t>book racks;</t>
  </si>
  <si>
    <t>IT software and multi-media equipment are utilized.</t>
  </si>
  <si>
    <t>The environment is conducive to learning.</t>
  </si>
  <si>
    <t>The library facilities are well-maintained and aesthetically designed.</t>
  </si>
  <si>
    <t>PARAMETER F: FINANCIAL SUPPORT</t>
  </si>
  <si>
    <t xml:space="preserve">The Institution has a regular and realistic budget for the library.  </t>
  </si>
  <si>
    <t>The Head Librarian and staff, in coordination with other officials of the Institution, prepare and manage the annual library budget.</t>
  </si>
  <si>
    <t>All fees and funds allocated for library resources and services are utilized solely for such purposes and are properly audited.</t>
  </si>
  <si>
    <t>Other sources of financial assistance are sought.</t>
  </si>
  <si>
    <t>The financial support from fiduciary, supplemental and external funds is adequate.</t>
  </si>
  <si>
    <t>PARAMETER G: LINKAGES</t>
  </si>
  <si>
    <t>The Library is on the mailing list of agencies, foundations, etc., for exchange of publications and other books and journals donations.</t>
  </si>
  <si>
    <t>Linkages with other institutions and funding agencies are explored and established for purposes of enhancing library facilities and resources.</t>
  </si>
  <si>
    <t>The library establishes consortia, networking and resource sharing with other institutions and library collaborative activities.</t>
  </si>
  <si>
    <t>Administrative Staff</t>
  </si>
  <si>
    <t>The reading room can accommodate at least 10% of the school enrollment at any given time.</t>
  </si>
  <si>
    <t>S.9.13</t>
  </si>
  <si>
    <t>S.9.14</t>
  </si>
  <si>
    <t>S.9.15</t>
  </si>
  <si>
    <t>S.9.16</t>
  </si>
  <si>
    <t>S.9.17</t>
  </si>
  <si>
    <t xml:space="preserve">others (please specify)  </t>
  </si>
  <si>
    <t>computers with printers; and</t>
  </si>
  <si>
    <t>typewriters;</t>
  </si>
  <si>
    <t>cardex/rotadex or any filing equipment for periodical records;</t>
  </si>
  <si>
    <t>map stands/cabinets;</t>
  </si>
  <si>
    <t>NA</t>
  </si>
  <si>
    <t>Library resource sharing and linkages are well-established.</t>
  </si>
  <si>
    <t>SUMMARY OF RATINGS</t>
  </si>
  <si>
    <t>Parameters</t>
  </si>
  <si>
    <t>Numerical Rating</t>
  </si>
  <si>
    <t xml:space="preserve">Descriptive Rating </t>
  </si>
  <si>
    <t>Area Mean</t>
  </si>
  <si>
    <t xml:space="preserve">                                      </t>
  </si>
  <si>
    <t>LEAD ACCREDITOR/S</t>
  </si>
  <si>
    <t>The library staff compensation, retirement, and fringe benefits, as well as other privileges, are granted in accordance with existing government laws and institutional policies.</t>
  </si>
  <si>
    <t>BS in Library and Information Science for the College/Academic Unit Library;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</si>
</sst>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 applyFill="1" applyAlignment="1">
      <alignment horizontal="justify" vertical="center"/>
    </xf>
    <xf numFmtId="0" fontId="3" fillId="0" borderId="0" xfId="0" applyFont="1" applyFill="1" applyBorder="1" applyAlignment="1">
      <alignment horizontal="justify" vertical="center"/>
    </xf>
    <xf numFmtId="2" fontId="3" fillId="0" borderId="0" xfId="0" applyNumberFormat="1" applyFont="1" applyFill="1" applyBorder="1" applyAlignment="1">
      <alignment horizontal="justify" vertical="center"/>
    </xf>
    <xf numFmtId="2" fontId="3" fillId="2" borderId="3" xfId="0" applyNumberFormat="1" applyFont="1" applyFill="1" applyBorder="1" applyAlignment="1" applyProtection="1">
      <alignment horizontal="justify" vertical="center"/>
      <protection locked="0"/>
    </xf>
    <xf numFmtId="0" fontId="3" fillId="0" borderId="7" xfId="0" applyFont="1" applyFill="1" applyBorder="1" applyAlignment="1">
      <alignment horizontal="justify" vertical="center"/>
    </xf>
    <xf numFmtId="0" fontId="3" fillId="0" borderId="4" xfId="0" applyFont="1" applyFill="1" applyBorder="1" applyAlignment="1">
      <alignment horizontal="justify" vertical="center"/>
    </xf>
    <xf numFmtId="0" fontId="6" fillId="0" borderId="0" xfId="0" applyFont="1" applyFill="1" applyBorder="1" applyAlignment="1">
      <alignment vertical="center"/>
    </xf>
    <xf numFmtId="2" fontId="3" fillId="0" borderId="0" xfId="0" applyNumberFormat="1" applyFont="1" applyFill="1" applyBorder="1" applyAlignment="1" applyProtection="1">
      <alignment horizontal="justify" vertical="center"/>
      <protection locked="0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" fillId="0" borderId="3" xfId="0" applyFont="1" applyFill="1" applyBorder="1" applyAlignment="1">
      <alignment horizontal="justify" vertical="center"/>
    </xf>
    <xf numFmtId="0" fontId="7" fillId="0" borderId="0" xfId="0" applyFont="1" applyFill="1" applyAlignment="1">
      <alignment horizontal="center" vertical="center"/>
    </xf>
    <xf numFmtId="0" fontId="2" fillId="0" borderId="8" xfId="0" applyFont="1" applyFill="1" applyBorder="1" applyAlignment="1"/>
    <xf numFmtId="0" fontId="2" fillId="0" borderId="12" xfId="0" applyFont="1" applyFill="1" applyBorder="1" applyAlignment="1"/>
    <xf numFmtId="2" fontId="3" fillId="0" borderId="10" xfId="0" applyNumberFormat="1" applyFont="1" applyFill="1" applyBorder="1" applyAlignment="1">
      <alignment horizontal="justify" vertical="center"/>
    </xf>
    <xf numFmtId="0" fontId="2" fillId="0" borderId="8" xfId="0" applyFont="1" applyFill="1" applyBorder="1" applyAlignment="1">
      <alignment vertical="center"/>
    </xf>
    <xf numFmtId="2" fontId="3" fillId="2" borderId="3" xfId="0" applyNumberFormat="1" applyFont="1" applyFill="1" applyBorder="1" applyAlignment="1" applyProtection="1">
      <alignment horizontal="justify" vertical="center"/>
    </xf>
    <xf numFmtId="0" fontId="3" fillId="0" borderId="6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justify" vertical="center"/>
    </xf>
    <xf numFmtId="2" fontId="3" fillId="0" borderId="7" xfId="0" applyNumberFormat="1" applyFont="1" applyFill="1" applyBorder="1" applyAlignment="1" applyProtection="1">
      <alignment horizontal="justify" vertical="center"/>
    </xf>
    <xf numFmtId="2" fontId="3" fillId="0" borderId="2" xfId="0" applyNumberFormat="1" applyFont="1" applyFill="1" applyBorder="1" applyAlignment="1">
      <alignment horizontal="justify" vertical="center"/>
    </xf>
    <xf numFmtId="0" fontId="0" fillId="0" borderId="0" xfId="0" applyFont="1" applyFill="1" applyAlignment="1">
      <alignment horizontal="justify" vertical="center"/>
    </xf>
    <xf numFmtId="0" fontId="0" fillId="0" borderId="0" xfId="0" applyFont="1" applyFill="1" applyBorder="1" applyAlignment="1">
      <alignment horizontal="justify" vertical="center"/>
    </xf>
    <xf numFmtId="0" fontId="2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justify" vertical="center"/>
    </xf>
    <xf numFmtId="0" fontId="2" fillId="0" borderId="7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justify" vertical="center"/>
    </xf>
    <xf numFmtId="0" fontId="2" fillId="0" borderId="7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3" fillId="0" borderId="13" xfId="0" applyFont="1" applyFill="1" applyBorder="1" applyAlignment="1">
      <alignment horizontal="justify" vertical="center"/>
    </xf>
    <xf numFmtId="0" fontId="0" fillId="0" borderId="13" xfId="0" applyFont="1" applyFill="1" applyBorder="1" applyAlignment="1">
      <alignment horizontal="justify" vertical="center"/>
    </xf>
    <xf numFmtId="0" fontId="3" fillId="0" borderId="12" xfId="0" applyFont="1" applyFill="1" applyBorder="1" applyAlignment="1">
      <alignment horizontal="justify" vertical="center"/>
    </xf>
    <xf numFmtId="0" fontId="0" fillId="0" borderId="1" xfId="0" applyFont="1" applyFill="1" applyBorder="1" applyAlignment="1">
      <alignment horizontal="justify" vertical="center"/>
    </xf>
    <xf numFmtId="2" fontId="3" fillId="0" borderId="7" xfId="0" applyNumberFormat="1" applyFont="1" applyFill="1" applyBorder="1" applyAlignment="1">
      <alignment horizontal="justify" vertical="center"/>
    </xf>
    <xf numFmtId="0" fontId="2" fillId="0" borderId="4" xfId="0" applyFont="1" applyFill="1" applyBorder="1" applyAlignment="1"/>
    <xf numFmtId="0" fontId="2" fillId="0" borderId="1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7" xfId="0" applyFont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2" fillId="0" borderId="8" xfId="0" applyFont="1" applyBorder="1" applyAlignment="1">
      <alignment vertical="center"/>
    </xf>
    <xf numFmtId="0" fontId="3" fillId="0" borderId="11" xfId="0" applyFont="1" applyBorder="1" applyAlignment="1">
      <alignment horizontal="justify" vertical="center"/>
    </xf>
    <xf numFmtId="0" fontId="3" fillId="0" borderId="14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3" fillId="0" borderId="8" xfId="0" applyFont="1" applyFill="1" applyBorder="1" applyAlignment="1">
      <alignment horizontal="justify" vertical="center"/>
    </xf>
    <xf numFmtId="0" fontId="0" fillId="0" borderId="1" xfId="0" applyFont="1" applyFill="1" applyBorder="1" applyAlignment="1">
      <alignment vertical="center"/>
    </xf>
    <xf numFmtId="0" fontId="3" fillId="0" borderId="15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3" fillId="0" borderId="9" xfId="0" applyFont="1" applyBorder="1" applyAlignment="1">
      <alignment horizontal="justify" vertical="center"/>
    </xf>
    <xf numFmtId="0" fontId="2" fillId="0" borderId="7" xfId="0" applyFont="1" applyBorder="1" applyAlignment="1" applyProtection="1">
      <alignment vertical="center" wrapText="1"/>
    </xf>
    <xf numFmtId="0" fontId="3" fillId="0" borderId="7" xfId="0" applyFont="1" applyBorder="1" applyAlignment="1" applyProtection="1">
      <alignment horizontal="justify" vertical="center"/>
    </xf>
    <xf numFmtId="0" fontId="3" fillId="0" borderId="4" xfId="0" applyFont="1" applyBorder="1" applyAlignment="1" applyProtection="1">
      <alignment horizontal="justify" vertical="center"/>
    </xf>
    <xf numFmtId="0" fontId="3" fillId="0" borderId="14" xfId="0" applyFont="1" applyFill="1" applyBorder="1" applyAlignment="1">
      <alignment horizontal="justify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justify" vertical="center"/>
    </xf>
    <xf numFmtId="2" fontId="3" fillId="0" borderId="0" xfId="0" applyNumberFormat="1" applyFont="1" applyFill="1" applyBorder="1" applyAlignment="1" applyProtection="1">
      <alignment horizontal="justify" vertical="center"/>
    </xf>
    <xf numFmtId="0" fontId="3" fillId="0" borderId="0" xfId="0" applyFont="1" applyBorder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0" fontId="0" fillId="0" borderId="0" xfId="0" applyBorder="1"/>
    <xf numFmtId="0" fontId="1" fillId="0" borderId="0" xfId="0" applyFont="1" applyAlignment="1">
      <alignment horizontal="right"/>
    </xf>
    <xf numFmtId="0" fontId="3" fillId="0" borderId="14" xfId="0" applyFont="1" applyFill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10" xfId="0" applyFont="1" applyFill="1" applyBorder="1" applyAlignment="1">
      <alignment horizontal="justify" vertical="center"/>
    </xf>
    <xf numFmtId="0" fontId="3" fillId="0" borderId="9" xfId="0" applyFont="1" applyFill="1" applyBorder="1" applyAlignment="1">
      <alignment horizontal="justify" vertical="center"/>
    </xf>
    <xf numFmtId="2" fontId="3" fillId="0" borderId="13" xfId="0" applyNumberFormat="1" applyFont="1" applyFill="1" applyBorder="1" applyAlignment="1" applyProtection="1">
      <alignment horizontal="justify" vertical="center"/>
    </xf>
    <xf numFmtId="0" fontId="2" fillId="0" borderId="11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2" fontId="3" fillId="0" borderId="4" xfId="0" applyNumberFormat="1" applyFont="1" applyFill="1" applyBorder="1" applyAlignment="1">
      <alignment horizontal="justify" vertical="center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3" fillId="0" borderId="8" xfId="0" applyFont="1" applyFill="1" applyBorder="1" applyAlignment="1" applyProtection="1">
      <alignment horizontal="justify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12" xfId="0" applyFont="1" applyBorder="1" applyAlignment="1">
      <alignment horizontal="justify" vertical="center"/>
    </xf>
    <xf numFmtId="0" fontId="3" fillId="0" borderId="10" xfId="0" applyFont="1" applyBorder="1" applyAlignment="1" applyProtection="1">
      <alignment horizontal="justify" vertical="center"/>
    </xf>
    <xf numFmtId="0" fontId="3" fillId="0" borderId="9" xfId="0" applyFont="1" applyFill="1" applyBorder="1" applyAlignment="1">
      <alignment horizontal="justify" vertical="center"/>
    </xf>
    <xf numFmtId="0" fontId="3" fillId="0" borderId="8" xfId="0" applyFont="1" applyFill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3" fillId="0" borderId="8" xfId="0" applyFont="1" applyBorder="1" applyAlignment="1">
      <alignment horizontal="justify" vertical="center"/>
    </xf>
    <xf numFmtId="0" fontId="2" fillId="0" borderId="8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justify" vertical="center"/>
    </xf>
    <xf numFmtId="2" fontId="3" fillId="0" borderId="10" xfId="0" applyNumberFormat="1" applyFont="1" applyFill="1" applyBorder="1" applyAlignment="1" applyProtection="1">
      <alignment horizontal="justify" vertical="center"/>
    </xf>
    <xf numFmtId="0" fontId="3" fillId="0" borderId="0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justify" vertical="center"/>
    </xf>
    <xf numFmtId="2" fontId="4" fillId="0" borderId="10" xfId="0" applyNumberFormat="1" applyFont="1" applyFill="1" applyBorder="1" applyAlignment="1">
      <alignment horizontal="center" vertical="center" textRotation="180" wrapText="1"/>
    </xf>
    <xf numFmtId="2" fontId="2" fillId="0" borderId="10" xfId="0" applyNumberFormat="1" applyFont="1" applyFill="1" applyBorder="1" applyAlignment="1">
      <alignment horizontal="center" vertical="center" textRotation="180"/>
    </xf>
    <xf numFmtId="2" fontId="2" fillId="0" borderId="12" xfId="0" applyNumberFormat="1" applyFont="1" applyFill="1" applyBorder="1" applyAlignment="1">
      <alignment horizontal="center" vertical="center" textRotation="180"/>
    </xf>
    <xf numFmtId="0" fontId="3" fillId="0" borderId="1" xfId="0" applyFont="1" applyBorder="1" applyAlignment="1" applyProtection="1">
      <alignment horizontal="justify" vertical="center"/>
      <protection locked="0"/>
    </xf>
    <xf numFmtId="0" fontId="3" fillId="0" borderId="2" xfId="0" applyFont="1" applyBorder="1" applyAlignment="1" applyProtection="1">
      <alignment horizontal="justify" vertical="center"/>
      <protection locked="0"/>
    </xf>
    <xf numFmtId="2" fontId="1" fillId="3" borderId="17" xfId="0" applyNumberFormat="1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justify" vertical="center"/>
    </xf>
    <xf numFmtId="0" fontId="2" fillId="0" borderId="8" xfId="0" applyFont="1" applyFill="1" applyBorder="1" applyAlignment="1">
      <alignment horizontal="justify" vertical="center"/>
    </xf>
    <xf numFmtId="0" fontId="2" fillId="0" borderId="6" xfId="0" applyFont="1" applyFill="1" applyBorder="1" applyAlignment="1">
      <alignment horizontal="justify" vertical="center"/>
    </xf>
    <xf numFmtId="0" fontId="2" fillId="0" borderId="3" xfId="0" applyFont="1" applyFill="1" applyBorder="1" applyAlignment="1">
      <alignment horizontal="justify" vertical="center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justify"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9" xfId="0" applyFont="1" applyFill="1" applyBorder="1" applyAlignment="1">
      <alignment horizontal="justify" vertical="center" wrapText="1"/>
    </xf>
    <xf numFmtId="2" fontId="3" fillId="0" borderId="2" xfId="0" applyNumberFormat="1" applyFont="1" applyFill="1" applyBorder="1" applyAlignment="1">
      <alignment horizontal="left" vertical="center" wrapText="1"/>
    </xf>
    <xf numFmtId="2" fontId="3" fillId="0" borderId="6" xfId="0" applyNumberFormat="1" applyFont="1" applyFill="1" applyBorder="1" applyAlignment="1">
      <alignment horizontal="justify" vertical="center"/>
    </xf>
    <xf numFmtId="2" fontId="3" fillId="0" borderId="3" xfId="0" applyNumberFormat="1" applyFont="1" applyFill="1" applyBorder="1" applyAlignment="1">
      <alignment horizontal="justify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justify" vertical="center" wrapText="1"/>
    </xf>
    <xf numFmtId="0" fontId="3" fillId="0" borderId="3" xfId="0" applyFont="1" applyFill="1" applyBorder="1" applyAlignment="1">
      <alignment horizontal="justify" vertical="center" wrapText="1"/>
    </xf>
    <xf numFmtId="0" fontId="3" fillId="0" borderId="13" xfId="0" applyFont="1" applyFill="1" applyBorder="1" applyAlignment="1">
      <alignment horizontal="justify" vertical="center" wrapText="1"/>
    </xf>
    <xf numFmtId="0" fontId="3" fillId="0" borderId="12" xfId="0" applyFont="1" applyFill="1" applyBorder="1" applyAlignment="1">
      <alignment horizontal="justify" vertical="center" wrapText="1"/>
    </xf>
    <xf numFmtId="0" fontId="1" fillId="0" borderId="0" xfId="0" applyFont="1" applyFill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justify" vertical="center"/>
    </xf>
    <xf numFmtId="0" fontId="2" fillId="0" borderId="0" xfId="0" applyFont="1" applyFill="1" applyAlignment="1">
      <alignment horizontal="left" wrapText="1"/>
    </xf>
    <xf numFmtId="0" fontId="3" fillId="0" borderId="1" xfId="0" applyFont="1" applyFill="1" applyBorder="1" applyAlignment="1" applyProtection="1">
      <alignment horizontal="left"/>
      <protection locked="0"/>
    </xf>
    <xf numFmtId="0" fontId="3" fillId="0" borderId="2" xfId="0" applyFont="1" applyFill="1" applyBorder="1" applyAlignment="1" applyProtection="1">
      <alignment horizontal="left"/>
      <protection locked="0"/>
    </xf>
    <xf numFmtId="0" fontId="2" fillId="0" borderId="0" xfId="0" applyFont="1" applyFill="1" applyAlignment="1">
      <alignment horizontal="left" vertical="center"/>
    </xf>
    <xf numFmtId="0" fontId="3" fillId="0" borderId="9" xfId="0" applyFont="1" applyFill="1" applyBorder="1" applyAlignment="1">
      <alignment horizontal="justify" vertical="center"/>
    </xf>
    <xf numFmtId="0" fontId="3" fillId="0" borderId="8" xfId="0" applyFont="1" applyFill="1" applyBorder="1" applyAlignment="1">
      <alignment horizontal="justify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2" fontId="3" fillId="0" borderId="2" xfId="0" applyNumberFormat="1" applyFont="1" applyFill="1" applyBorder="1" applyAlignment="1">
      <alignment horizontal="justify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28</xdr:row>
      <xdr:rowOff>34925</xdr:rowOff>
    </xdr:from>
    <xdr:to>
      <xdr:col>8</xdr:col>
      <xdr:colOff>371475</xdr:colOff>
      <xdr:row>28</xdr:row>
      <xdr:rowOff>1762125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6C10D-BAB3-45D7-9BF9-017AFDB6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8569325"/>
          <a:ext cx="6581775" cy="172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25"/>
  <sheetViews>
    <sheetView tabSelected="1" view="pageLayout" topLeftCell="A211" zoomScaleNormal="100" zoomScaleSheetLayoutView="118" workbookViewId="0">
      <selection activeCell="G213" sqref="G213:I213"/>
    </sheetView>
  </sheetViews>
  <sheetFormatPr defaultColWidth="9.1796875" defaultRowHeight="20.149999999999999" customHeight="1" x14ac:dyDescent="0.35"/>
  <cols>
    <col min="1" max="1" width="4.7265625" style="83" customWidth="1"/>
    <col min="2" max="2" width="5.7265625" style="1" customWidth="1"/>
    <col min="3" max="3" width="7.7265625" style="25" customWidth="1"/>
    <col min="4" max="4" width="47.7265625" style="1" customWidth="1"/>
    <col min="5" max="7" width="5.26953125" style="1" customWidth="1"/>
    <col min="8" max="8" width="5.26953125" style="2" customWidth="1"/>
    <col min="9" max="9" width="5.7265625" style="2" customWidth="1"/>
    <col min="10" max="10" width="9.1796875" style="2"/>
    <col min="11" max="16384" width="9.1796875" style="1"/>
  </cols>
  <sheetData>
    <row r="3" spans="1:4" ht="20.149999999999999" customHeight="1" x14ac:dyDescent="0.35">
      <c r="D3" s="15" t="s">
        <v>50</v>
      </c>
    </row>
    <row r="4" spans="1:4" ht="20.149999999999999" customHeight="1" x14ac:dyDescent="0.35">
      <c r="D4" s="15" t="s">
        <v>51</v>
      </c>
    </row>
    <row r="6" spans="1:4" ht="20.149999999999999" customHeight="1" x14ac:dyDescent="0.35">
      <c r="A6" s="169" t="s">
        <v>0</v>
      </c>
      <c r="B6" s="169"/>
      <c r="C6" s="169"/>
    </row>
    <row r="7" spans="1:4" ht="30" customHeight="1" x14ac:dyDescent="0.35">
      <c r="A7" s="84" t="s">
        <v>1</v>
      </c>
      <c r="B7" s="171" t="s">
        <v>52</v>
      </c>
      <c r="C7" s="171"/>
      <c r="D7" s="171"/>
    </row>
    <row r="8" spans="1:4" ht="30" customHeight="1" x14ac:dyDescent="0.35">
      <c r="A8" s="84" t="s">
        <v>2</v>
      </c>
      <c r="B8" s="171" t="s">
        <v>198</v>
      </c>
      <c r="C8" s="171"/>
      <c r="D8" s="171"/>
    </row>
    <row r="9" spans="1:4" ht="30" customHeight="1" x14ac:dyDescent="0.35">
      <c r="A9" s="84" t="s">
        <v>34</v>
      </c>
      <c r="B9" s="169" t="s">
        <v>53</v>
      </c>
      <c r="C9" s="169"/>
      <c r="D9" s="169"/>
    </row>
    <row r="10" spans="1:4" ht="30" customHeight="1" x14ac:dyDescent="0.35">
      <c r="A10" s="84" t="s">
        <v>35</v>
      </c>
      <c r="B10" s="169" t="s">
        <v>54</v>
      </c>
      <c r="C10" s="169"/>
      <c r="D10" s="169"/>
    </row>
    <row r="11" spans="1:4" ht="30" customHeight="1" x14ac:dyDescent="0.35">
      <c r="A11" s="84" t="s">
        <v>36</v>
      </c>
      <c r="B11" s="169" t="s">
        <v>55</v>
      </c>
      <c r="C11" s="169"/>
      <c r="D11" s="169"/>
    </row>
    <row r="12" spans="1:4" ht="30" customHeight="1" x14ac:dyDescent="0.35">
      <c r="A12" s="84" t="s">
        <v>58</v>
      </c>
      <c r="B12" s="169" t="s">
        <v>57</v>
      </c>
      <c r="C12" s="169"/>
      <c r="D12" s="169"/>
    </row>
    <row r="13" spans="1:4" ht="30" customHeight="1" x14ac:dyDescent="0.35">
      <c r="A13" s="84" t="s">
        <v>59</v>
      </c>
      <c r="B13" s="169" t="s">
        <v>56</v>
      </c>
      <c r="C13" s="169"/>
      <c r="D13" s="169"/>
    </row>
    <row r="17" spans="1:16" ht="30" customHeight="1" x14ac:dyDescent="0.35">
      <c r="A17" s="175" t="s">
        <v>3</v>
      </c>
      <c r="B17" s="175"/>
      <c r="C17" s="173"/>
      <c r="D17" s="173"/>
      <c r="E17" s="173"/>
      <c r="F17" s="173"/>
      <c r="G17" s="173"/>
      <c r="H17" s="173"/>
    </row>
    <row r="18" spans="1:16" ht="30" customHeight="1" x14ac:dyDescent="0.35">
      <c r="A18" s="175" t="s">
        <v>42</v>
      </c>
      <c r="B18" s="175"/>
      <c r="C18" s="174"/>
      <c r="D18" s="174"/>
      <c r="E18" s="174"/>
      <c r="F18" s="174"/>
      <c r="G18" s="174"/>
      <c r="H18" s="174"/>
    </row>
    <row r="19" spans="1:16" ht="30" customHeight="1" x14ac:dyDescent="0.35">
      <c r="A19" s="175" t="s">
        <v>4</v>
      </c>
      <c r="B19" s="175"/>
      <c r="C19" s="174"/>
      <c r="D19" s="174"/>
      <c r="E19" s="174"/>
      <c r="F19" s="174"/>
      <c r="G19" s="174"/>
      <c r="H19" s="174"/>
    </row>
    <row r="20" spans="1:16" ht="30" customHeight="1" x14ac:dyDescent="0.35">
      <c r="A20" s="175" t="s">
        <v>5</v>
      </c>
      <c r="B20" s="175"/>
      <c r="C20" s="174"/>
      <c r="D20" s="174"/>
      <c r="E20" s="174"/>
      <c r="F20" s="174"/>
      <c r="G20" s="174"/>
      <c r="H20" s="174"/>
    </row>
    <row r="21" spans="1:16" ht="30" customHeight="1" x14ac:dyDescent="0.35">
      <c r="A21" s="172" t="s">
        <v>6</v>
      </c>
      <c r="B21" s="172"/>
      <c r="C21" s="172"/>
      <c r="D21" s="174"/>
      <c r="E21" s="174"/>
      <c r="F21" s="174"/>
      <c r="G21" s="174"/>
      <c r="H21" s="174"/>
    </row>
    <row r="29" spans="1:16" ht="140.15" customHeight="1" x14ac:dyDescent="0.35">
      <c r="A29" s="170"/>
      <c r="B29" s="170"/>
      <c r="C29" s="170"/>
      <c r="D29" s="170"/>
      <c r="E29" s="170"/>
      <c r="F29" s="170"/>
      <c r="G29" s="170"/>
      <c r="H29" s="170"/>
      <c r="I29" s="170"/>
    </row>
    <row r="30" spans="1:16" ht="120" customHeight="1" x14ac:dyDescent="0.35">
      <c r="A30" s="178" t="s">
        <v>7</v>
      </c>
      <c r="B30" s="179"/>
      <c r="C30" s="179"/>
      <c r="D30" s="179"/>
      <c r="E30" s="179"/>
      <c r="F30" s="180"/>
      <c r="G30" s="120" t="s">
        <v>8</v>
      </c>
      <c r="H30" s="119" t="s">
        <v>9</v>
      </c>
      <c r="I30" s="121" t="s">
        <v>10</v>
      </c>
    </row>
    <row r="31" spans="1:16" ht="30" customHeight="1" x14ac:dyDescent="0.35">
      <c r="A31" s="163" t="s">
        <v>60</v>
      </c>
      <c r="B31" s="164"/>
      <c r="C31" s="164"/>
      <c r="D31" s="164"/>
      <c r="E31" s="164"/>
      <c r="F31" s="126"/>
      <c r="G31" s="31"/>
      <c r="H31" s="31"/>
      <c r="I31" s="30"/>
    </row>
    <row r="32" spans="1:16" ht="30" customHeight="1" x14ac:dyDescent="0.35">
      <c r="A32" s="163" t="s">
        <v>11</v>
      </c>
      <c r="B32" s="164"/>
      <c r="C32" s="164"/>
      <c r="D32" s="164"/>
      <c r="E32" s="164"/>
      <c r="F32" s="126"/>
      <c r="G32" s="27"/>
      <c r="H32" s="27"/>
      <c r="I32" s="29"/>
      <c r="M32" s="2"/>
      <c r="N32" s="2"/>
      <c r="O32" s="2"/>
      <c r="P32" s="2"/>
    </row>
    <row r="33" spans="1:16" ht="40" customHeight="1" x14ac:dyDescent="0.35">
      <c r="A33" s="85" t="s">
        <v>12</v>
      </c>
      <c r="B33" s="176" t="s">
        <v>61</v>
      </c>
      <c r="C33" s="177"/>
      <c r="D33" s="177"/>
      <c r="E33" s="177"/>
      <c r="F33" s="177"/>
      <c r="G33" s="4"/>
      <c r="H33" s="5"/>
      <c r="I33" s="6"/>
      <c r="M33" s="8"/>
      <c r="N33" s="2"/>
      <c r="O33" s="2"/>
      <c r="P33" s="2"/>
    </row>
    <row r="34" spans="1:16" ht="40" customHeight="1" x14ac:dyDescent="0.35">
      <c r="A34" s="86" t="s">
        <v>13</v>
      </c>
      <c r="B34" s="161" t="s">
        <v>62</v>
      </c>
      <c r="C34" s="162"/>
      <c r="D34" s="162"/>
      <c r="E34" s="162"/>
      <c r="F34" s="162"/>
      <c r="G34" s="4"/>
      <c r="H34" s="5"/>
      <c r="I34" s="6"/>
      <c r="M34" s="8"/>
      <c r="N34" s="2"/>
      <c r="O34" s="2"/>
      <c r="P34" s="2"/>
    </row>
    <row r="35" spans="1:16" ht="40" customHeight="1" x14ac:dyDescent="0.35">
      <c r="A35" s="86" t="s">
        <v>14</v>
      </c>
      <c r="B35" s="161" t="s">
        <v>63</v>
      </c>
      <c r="C35" s="162"/>
      <c r="D35" s="162"/>
      <c r="E35" s="162"/>
      <c r="F35" s="162"/>
      <c r="G35" s="4"/>
      <c r="H35" s="5"/>
      <c r="I35" s="6"/>
      <c r="M35" s="8"/>
      <c r="N35" s="2"/>
      <c r="O35" s="2"/>
      <c r="P35" s="2"/>
    </row>
    <row r="36" spans="1:16" ht="50.15" customHeight="1" x14ac:dyDescent="0.35">
      <c r="A36" s="86" t="s">
        <v>15</v>
      </c>
      <c r="B36" s="161" t="s">
        <v>64</v>
      </c>
      <c r="C36" s="162"/>
      <c r="D36" s="162"/>
      <c r="E36" s="162"/>
      <c r="F36" s="162"/>
      <c r="G36" s="4"/>
      <c r="H36" s="5"/>
      <c r="I36" s="6"/>
      <c r="M36" s="8"/>
      <c r="N36" s="2"/>
      <c r="O36" s="2"/>
      <c r="P36" s="2"/>
    </row>
    <row r="37" spans="1:16" ht="30" customHeight="1" x14ac:dyDescent="0.35">
      <c r="A37" s="87"/>
      <c r="B37" s="2"/>
      <c r="C37" s="26"/>
      <c r="D37" s="2"/>
      <c r="E37" s="2"/>
      <c r="F37" s="79"/>
      <c r="G37" s="18"/>
      <c r="H37" s="20" t="e">
        <f>AVERAGEIF(G33:G36, "&gt;=0")</f>
        <v>#DIV/0!</v>
      </c>
      <c r="I37" s="6"/>
      <c r="M37" s="2"/>
      <c r="N37" s="2"/>
      <c r="O37" s="3"/>
      <c r="P37" s="2"/>
    </row>
    <row r="38" spans="1:16" ht="30" customHeight="1" x14ac:dyDescent="0.35">
      <c r="A38" s="163" t="s">
        <v>17</v>
      </c>
      <c r="B38" s="164"/>
      <c r="C38" s="164"/>
      <c r="D38" s="164"/>
      <c r="E38" s="164"/>
      <c r="F38" s="126"/>
      <c r="G38" s="16"/>
      <c r="H38" s="42"/>
      <c r="I38" s="6"/>
    </row>
    <row r="39" spans="1:16" ht="40" customHeight="1" x14ac:dyDescent="0.35">
      <c r="A39" s="86" t="s">
        <v>18</v>
      </c>
      <c r="B39" s="158" t="s">
        <v>65</v>
      </c>
      <c r="C39" s="158"/>
      <c r="D39" s="158"/>
      <c r="E39" s="158"/>
      <c r="F39" s="159"/>
      <c r="G39" s="4"/>
      <c r="H39" s="5"/>
      <c r="I39" s="5"/>
    </row>
    <row r="40" spans="1:16" ht="40" customHeight="1" x14ac:dyDescent="0.35">
      <c r="A40" s="86" t="s">
        <v>19</v>
      </c>
      <c r="B40" s="143" t="s">
        <v>66</v>
      </c>
      <c r="C40" s="143"/>
      <c r="D40" s="143"/>
      <c r="E40" s="143"/>
      <c r="F40" s="144"/>
      <c r="G40" s="20" t="e">
        <f>AVERAGEIF(F41:F42, "&gt;=0")</f>
        <v>#DIV/0!</v>
      </c>
      <c r="H40" s="5"/>
      <c r="I40" s="5"/>
    </row>
    <row r="41" spans="1:16" ht="40" customHeight="1" x14ac:dyDescent="0.35">
      <c r="A41" s="85"/>
      <c r="B41" s="54" t="s">
        <v>67</v>
      </c>
      <c r="C41" s="159" t="s">
        <v>69</v>
      </c>
      <c r="D41" s="165"/>
      <c r="E41" s="165"/>
      <c r="F41" s="4"/>
      <c r="G41" s="108"/>
      <c r="H41" s="107"/>
      <c r="I41" s="108"/>
    </row>
    <row r="42" spans="1:16" ht="40" customHeight="1" x14ac:dyDescent="0.35">
      <c r="A42" s="86"/>
      <c r="B42" s="36" t="s">
        <v>68</v>
      </c>
      <c r="C42" s="144" t="s">
        <v>70</v>
      </c>
      <c r="D42" s="166"/>
      <c r="E42" s="166"/>
      <c r="F42" s="4"/>
      <c r="G42" s="74"/>
      <c r="H42" s="39"/>
      <c r="I42" s="74"/>
    </row>
    <row r="43" spans="1:16" ht="40" customHeight="1" x14ac:dyDescent="0.35">
      <c r="A43" s="86" t="s">
        <v>20</v>
      </c>
      <c r="B43" s="167" t="s">
        <v>71</v>
      </c>
      <c r="C43" s="167"/>
      <c r="D43" s="167"/>
      <c r="E43" s="167"/>
      <c r="F43" s="168"/>
      <c r="G43" s="4"/>
      <c r="H43" s="5"/>
      <c r="I43" s="5"/>
    </row>
    <row r="44" spans="1:16" ht="40" customHeight="1" x14ac:dyDescent="0.35">
      <c r="A44" s="86" t="s">
        <v>23</v>
      </c>
      <c r="B44" s="167" t="s">
        <v>72</v>
      </c>
      <c r="C44" s="167"/>
      <c r="D44" s="167"/>
      <c r="E44" s="167"/>
      <c r="F44" s="168"/>
      <c r="G44" s="4"/>
      <c r="H44" s="5"/>
      <c r="I44" s="5"/>
    </row>
    <row r="45" spans="1:16" ht="40" customHeight="1" x14ac:dyDescent="0.35">
      <c r="A45" s="86" t="s">
        <v>24</v>
      </c>
      <c r="B45" s="167" t="s">
        <v>73</v>
      </c>
      <c r="C45" s="167"/>
      <c r="D45" s="167"/>
      <c r="E45" s="167"/>
      <c r="F45" s="168"/>
      <c r="G45" s="4"/>
      <c r="H45" s="5"/>
      <c r="I45" s="5"/>
    </row>
    <row r="46" spans="1:16" ht="40" customHeight="1" x14ac:dyDescent="0.35">
      <c r="A46" s="86" t="s">
        <v>37</v>
      </c>
      <c r="B46" s="143" t="s">
        <v>74</v>
      </c>
      <c r="C46" s="143"/>
      <c r="D46" s="143"/>
      <c r="E46" s="143"/>
      <c r="F46" s="144"/>
      <c r="G46" s="4"/>
      <c r="H46" s="5"/>
      <c r="I46" s="5"/>
    </row>
    <row r="47" spans="1:16" ht="25" customHeight="1" x14ac:dyDescent="0.35">
      <c r="A47" s="86"/>
      <c r="B47" s="2"/>
      <c r="C47" s="26"/>
      <c r="D47" s="2"/>
      <c r="E47" s="2"/>
      <c r="F47" s="75"/>
      <c r="G47" s="14"/>
      <c r="H47" s="20" t="e">
        <f>AVERAGEIF(G39:G46, "&gt;=0")</f>
        <v>#DIV/0!</v>
      </c>
      <c r="I47" s="5"/>
    </row>
    <row r="48" spans="1:16" ht="25" customHeight="1" x14ac:dyDescent="0.35">
      <c r="A48" s="163" t="s">
        <v>21</v>
      </c>
      <c r="B48" s="164"/>
      <c r="C48" s="164"/>
      <c r="D48" s="164"/>
      <c r="E48" s="164"/>
      <c r="F48" s="126"/>
      <c r="G48" s="16"/>
      <c r="H48" s="17"/>
      <c r="I48" s="5"/>
    </row>
    <row r="49" spans="1:16" ht="40" customHeight="1" x14ac:dyDescent="0.35">
      <c r="A49" s="86" t="s">
        <v>22</v>
      </c>
      <c r="B49" s="158" t="s">
        <v>75</v>
      </c>
      <c r="C49" s="158"/>
      <c r="D49" s="158"/>
      <c r="E49" s="158"/>
      <c r="F49" s="159"/>
      <c r="G49" s="4"/>
      <c r="H49" s="5"/>
      <c r="I49" s="6"/>
    </row>
    <row r="50" spans="1:16" ht="40" customHeight="1" x14ac:dyDescent="0.35">
      <c r="A50" s="86" t="s">
        <v>76</v>
      </c>
      <c r="B50" s="158" t="s">
        <v>77</v>
      </c>
      <c r="C50" s="158"/>
      <c r="D50" s="158"/>
      <c r="E50" s="158"/>
      <c r="F50" s="159"/>
      <c r="G50" s="4"/>
      <c r="H50" s="5"/>
      <c r="I50" s="6"/>
    </row>
    <row r="51" spans="1:16" ht="25" customHeight="1" x14ac:dyDescent="0.35">
      <c r="A51" s="87"/>
      <c r="B51" s="2"/>
      <c r="C51" s="26"/>
      <c r="D51" s="2"/>
      <c r="E51" s="2"/>
      <c r="F51" s="6"/>
      <c r="G51" s="33"/>
      <c r="H51" s="20" t="e">
        <f>AVERAGEIF(G49:G50, "&gt;=0")</f>
        <v>#DIV/0!</v>
      </c>
      <c r="I51" s="5"/>
    </row>
    <row r="52" spans="1:16" ht="25" customHeight="1" x14ac:dyDescent="0.35">
      <c r="A52" s="88"/>
      <c r="B52" s="22"/>
      <c r="C52" s="40"/>
      <c r="D52" s="22"/>
      <c r="E52" s="22"/>
      <c r="F52" s="75"/>
      <c r="G52" s="62"/>
      <c r="H52" s="14"/>
      <c r="I52" s="20" t="e">
        <f>AVERAGEIF($H$37:$H$51, "&gt;=0")</f>
        <v>#DIV/0!</v>
      </c>
    </row>
    <row r="53" spans="1:16" ht="20.149999999999999" customHeight="1" x14ac:dyDescent="0.35">
      <c r="A53" s="89"/>
      <c r="B53" s="2"/>
      <c r="C53" s="26"/>
      <c r="D53" s="2"/>
      <c r="E53" s="2"/>
      <c r="F53" s="6"/>
      <c r="G53" s="28"/>
      <c r="H53" s="28"/>
      <c r="I53" s="23"/>
    </row>
    <row r="54" spans="1:16" ht="30" customHeight="1" x14ac:dyDescent="0.35">
      <c r="A54" s="155" t="s">
        <v>78</v>
      </c>
      <c r="B54" s="156"/>
      <c r="C54" s="156"/>
      <c r="D54" s="156"/>
      <c r="E54" s="156"/>
      <c r="F54" s="157"/>
      <c r="G54" s="32"/>
      <c r="H54" s="32"/>
      <c r="I54" s="34"/>
    </row>
    <row r="55" spans="1:16" ht="30" customHeight="1" x14ac:dyDescent="0.35">
      <c r="A55" s="155" t="s">
        <v>11</v>
      </c>
      <c r="B55" s="156"/>
      <c r="C55" s="156"/>
      <c r="D55" s="156"/>
      <c r="E55" s="156"/>
      <c r="F55" s="157"/>
      <c r="G55" s="32"/>
      <c r="H55" s="32"/>
      <c r="I55" s="34"/>
    </row>
    <row r="56" spans="1:16" ht="40" customHeight="1" x14ac:dyDescent="0.35">
      <c r="A56" s="86" t="s">
        <v>12</v>
      </c>
      <c r="B56" s="158" t="s">
        <v>79</v>
      </c>
      <c r="C56" s="158"/>
      <c r="D56" s="158"/>
      <c r="E56" s="158"/>
      <c r="F56" s="159"/>
      <c r="G56" s="20" t="e">
        <f>AVERAGEIF(F57:F58, "&gt;=0")</f>
        <v>#DIV/0!</v>
      </c>
      <c r="H56" s="6"/>
      <c r="I56" s="5"/>
    </row>
    <row r="57" spans="1:16" ht="40" customHeight="1" x14ac:dyDescent="0.35">
      <c r="A57" s="86"/>
      <c r="B57" s="24" t="s">
        <v>80</v>
      </c>
      <c r="C57" s="185" t="s">
        <v>220</v>
      </c>
      <c r="D57" s="185"/>
      <c r="E57" s="185"/>
      <c r="F57" s="4"/>
      <c r="G57" s="5"/>
      <c r="H57" s="5"/>
      <c r="I57" s="6"/>
      <c r="M57" s="8"/>
      <c r="N57" s="2"/>
      <c r="O57" s="2"/>
      <c r="P57" s="2"/>
    </row>
    <row r="58" spans="1:16" ht="40" customHeight="1" x14ac:dyDescent="0.35">
      <c r="A58" s="86"/>
      <c r="B58" s="24" t="s">
        <v>81</v>
      </c>
      <c r="C58" s="185" t="s">
        <v>84</v>
      </c>
      <c r="D58" s="185"/>
      <c r="E58" s="185"/>
      <c r="F58" s="4"/>
      <c r="G58" s="5"/>
      <c r="H58" s="5"/>
      <c r="I58" s="6"/>
      <c r="M58" s="8"/>
      <c r="N58" s="2"/>
      <c r="O58" s="2"/>
      <c r="P58" s="2"/>
    </row>
    <row r="59" spans="1:16" ht="60" customHeight="1" x14ac:dyDescent="0.35">
      <c r="A59" s="86" t="s">
        <v>13</v>
      </c>
      <c r="B59" s="143" t="s">
        <v>85</v>
      </c>
      <c r="C59" s="143"/>
      <c r="D59" s="143"/>
      <c r="E59" s="143"/>
      <c r="F59" s="144"/>
      <c r="G59" s="20" t="e">
        <f>AVERAGEIF(F60:F61, "&gt;=0")</f>
        <v>#DIV/0!</v>
      </c>
      <c r="H59" s="6"/>
      <c r="I59" s="5"/>
    </row>
    <row r="60" spans="1:16" ht="40" customHeight="1" x14ac:dyDescent="0.35">
      <c r="A60" s="86"/>
      <c r="B60" s="24" t="s">
        <v>82</v>
      </c>
      <c r="C60" s="160" t="s">
        <v>86</v>
      </c>
      <c r="D60" s="160"/>
      <c r="E60" s="160"/>
      <c r="F60" s="4"/>
      <c r="G60" s="108"/>
      <c r="H60" s="108"/>
      <c r="I60" s="107"/>
      <c r="M60" s="8"/>
      <c r="N60" s="2"/>
      <c r="O60" s="2"/>
      <c r="P60" s="2"/>
    </row>
    <row r="61" spans="1:16" ht="40" customHeight="1" x14ac:dyDescent="0.35">
      <c r="A61" s="86"/>
      <c r="B61" s="24" t="s">
        <v>83</v>
      </c>
      <c r="C61" s="160" t="s">
        <v>87</v>
      </c>
      <c r="D61" s="160"/>
      <c r="E61" s="160"/>
      <c r="F61" s="4"/>
      <c r="G61" s="74"/>
      <c r="H61" s="74"/>
      <c r="I61" s="39"/>
      <c r="M61" s="8"/>
      <c r="N61" s="2"/>
      <c r="O61" s="2"/>
      <c r="P61" s="2"/>
    </row>
    <row r="62" spans="1:16" ht="40" customHeight="1" x14ac:dyDescent="0.35">
      <c r="A62" s="86" t="s">
        <v>14</v>
      </c>
      <c r="B62" s="143" t="s">
        <v>88</v>
      </c>
      <c r="C62" s="143"/>
      <c r="D62" s="143"/>
      <c r="E62" s="143"/>
      <c r="F62" s="144"/>
      <c r="G62" s="4"/>
      <c r="H62" s="6"/>
      <c r="I62" s="5"/>
    </row>
    <row r="63" spans="1:16" ht="30" customHeight="1" x14ac:dyDescent="0.35">
      <c r="A63" s="86"/>
      <c r="B63" s="2"/>
      <c r="C63" s="26"/>
      <c r="D63" s="2"/>
      <c r="E63" s="183"/>
      <c r="F63" s="184"/>
      <c r="G63" s="2"/>
      <c r="H63" s="20" t="e">
        <f>AVERAGEIF(G56:G62, "&gt;=0")</f>
        <v>#DIV/0!</v>
      </c>
      <c r="I63" s="5"/>
    </row>
    <row r="64" spans="1:16" ht="30" customHeight="1" x14ac:dyDescent="0.35">
      <c r="A64" s="127" t="s">
        <v>17</v>
      </c>
      <c r="B64" s="127"/>
      <c r="C64" s="127"/>
      <c r="D64" s="127"/>
      <c r="E64" s="127"/>
      <c r="F64" s="127"/>
      <c r="G64" s="5"/>
      <c r="H64" s="6"/>
      <c r="I64" s="5"/>
    </row>
    <row r="65" spans="1:16" ht="60" customHeight="1" x14ac:dyDescent="0.35">
      <c r="A65" s="86" t="s">
        <v>18</v>
      </c>
      <c r="B65" s="143" t="s">
        <v>219</v>
      </c>
      <c r="C65" s="143"/>
      <c r="D65" s="143"/>
      <c r="E65" s="143"/>
      <c r="F65" s="144"/>
      <c r="G65" s="4"/>
      <c r="H65" s="6"/>
      <c r="I65" s="5"/>
    </row>
    <row r="66" spans="1:16" ht="30" customHeight="1" x14ac:dyDescent="0.35">
      <c r="A66" s="87"/>
      <c r="B66" s="2"/>
      <c r="C66" s="26"/>
      <c r="D66" s="2"/>
      <c r="E66" s="2"/>
      <c r="F66" s="6"/>
      <c r="G66" s="74"/>
      <c r="H66" s="20" t="e">
        <f>AVERAGEIF(G65:G65, "&gt;=0")</f>
        <v>#DIV/0!</v>
      </c>
      <c r="I66" s="5"/>
    </row>
    <row r="67" spans="1:16" ht="30" customHeight="1" x14ac:dyDescent="0.35">
      <c r="A67" s="163" t="s">
        <v>21</v>
      </c>
      <c r="B67" s="164"/>
      <c r="C67" s="164"/>
      <c r="D67" s="164"/>
      <c r="E67" s="164"/>
      <c r="F67" s="126"/>
      <c r="G67" s="27"/>
      <c r="H67" s="5"/>
      <c r="I67" s="5"/>
    </row>
    <row r="68" spans="1:16" ht="40" customHeight="1" x14ac:dyDescent="0.35">
      <c r="A68" s="86" t="s">
        <v>22</v>
      </c>
      <c r="B68" s="143" t="s">
        <v>89</v>
      </c>
      <c r="C68" s="143"/>
      <c r="D68" s="143"/>
      <c r="E68" s="143"/>
      <c r="F68" s="144"/>
      <c r="G68" s="4"/>
      <c r="H68" s="6"/>
      <c r="I68" s="5"/>
    </row>
    <row r="69" spans="1:16" ht="30" customHeight="1" x14ac:dyDescent="0.35">
      <c r="A69" s="87"/>
      <c r="B69" s="2"/>
      <c r="C69" s="26"/>
      <c r="D69" s="2"/>
      <c r="E69" s="2"/>
      <c r="F69" s="6"/>
      <c r="G69" s="33"/>
      <c r="H69" s="20" t="e">
        <f>AVERAGEIF(G68:G68, "&gt;=0")</f>
        <v>#DIV/0!</v>
      </c>
      <c r="I69" s="6"/>
    </row>
    <row r="70" spans="1:16" ht="30" customHeight="1" x14ac:dyDescent="0.35">
      <c r="A70" s="88"/>
      <c r="B70" s="22"/>
      <c r="C70" s="40"/>
      <c r="D70" s="22"/>
      <c r="E70" s="22"/>
      <c r="F70" s="75"/>
      <c r="G70" s="72"/>
      <c r="H70" s="14"/>
      <c r="I70" s="20" t="e">
        <f>AVERAGEIF($H$63:$H$69, "&gt;=0")</f>
        <v>#DIV/0!</v>
      </c>
    </row>
    <row r="71" spans="1:16" ht="25" customHeight="1" x14ac:dyDescent="0.35">
      <c r="A71" s="90"/>
      <c r="B71" s="2"/>
      <c r="C71" s="26"/>
      <c r="D71" s="2"/>
      <c r="E71" s="2"/>
      <c r="F71" s="6"/>
      <c r="G71" s="28"/>
      <c r="H71" s="28"/>
      <c r="I71" s="23"/>
    </row>
    <row r="72" spans="1:16" ht="30" customHeight="1" x14ac:dyDescent="0.35">
      <c r="A72" s="155" t="s">
        <v>90</v>
      </c>
      <c r="B72" s="156"/>
      <c r="C72" s="156"/>
      <c r="D72" s="156"/>
      <c r="E72" s="156"/>
      <c r="F72" s="157"/>
      <c r="G72" s="32"/>
      <c r="H72" s="32"/>
      <c r="I72" s="34"/>
    </row>
    <row r="73" spans="1:16" ht="30" customHeight="1" x14ac:dyDescent="0.35">
      <c r="A73" s="155" t="s">
        <v>11</v>
      </c>
      <c r="B73" s="156"/>
      <c r="C73" s="156"/>
      <c r="D73" s="156"/>
      <c r="E73" s="156"/>
      <c r="F73" s="157"/>
      <c r="G73" s="32"/>
      <c r="H73" s="32"/>
      <c r="I73" s="34"/>
    </row>
    <row r="74" spans="1:16" ht="35.15" customHeight="1" x14ac:dyDescent="0.35">
      <c r="A74" s="86" t="s">
        <v>12</v>
      </c>
      <c r="B74" s="158" t="s">
        <v>91</v>
      </c>
      <c r="C74" s="158"/>
      <c r="D74" s="158"/>
      <c r="E74" s="158"/>
      <c r="F74" s="159"/>
      <c r="G74" s="4"/>
      <c r="H74" s="6"/>
      <c r="I74" s="5"/>
    </row>
    <row r="75" spans="1:16" ht="35.15" customHeight="1" x14ac:dyDescent="0.35">
      <c r="A75" s="86" t="s">
        <v>13</v>
      </c>
      <c r="B75" s="143" t="s">
        <v>92</v>
      </c>
      <c r="C75" s="143"/>
      <c r="D75" s="143"/>
      <c r="E75" s="143"/>
      <c r="F75" s="144"/>
      <c r="G75" s="20" t="e">
        <f>AVERAGEIF(F76:F77, "&gt;=0")</f>
        <v>#DIV/0!</v>
      </c>
      <c r="H75" s="6"/>
      <c r="I75" s="5"/>
    </row>
    <row r="76" spans="1:16" ht="35.15" customHeight="1" x14ac:dyDescent="0.35">
      <c r="A76" s="86"/>
      <c r="B76" s="24" t="s">
        <v>82</v>
      </c>
      <c r="C76" s="160" t="s">
        <v>93</v>
      </c>
      <c r="D76" s="160"/>
      <c r="E76" s="160"/>
      <c r="F76" s="4"/>
      <c r="G76" s="34"/>
      <c r="H76" s="5"/>
      <c r="I76" s="6"/>
      <c r="M76" s="8"/>
      <c r="N76" s="2"/>
      <c r="O76" s="2"/>
      <c r="P76" s="2"/>
    </row>
    <row r="77" spans="1:16" ht="40" customHeight="1" x14ac:dyDescent="0.35">
      <c r="A77" s="86"/>
      <c r="B77" s="24" t="s">
        <v>83</v>
      </c>
      <c r="C77" s="160" t="s">
        <v>94</v>
      </c>
      <c r="D77" s="160"/>
      <c r="E77" s="160"/>
      <c r="F77" s="4"/>
      <c r="G77" s="34"/>
      <c r="H77" s="5"/>
      <c r="I77" s="6"/>
      <c r="M77" s="8"/>
      <c r="N77" s="2"/>
      <c r="O77" s="2"/>
      <c r="P77" s="2"/>
    </row>
    <row r="78" spans="1:16" ht="40" customHeight="1" x14ac:dyDescent="0.35">
      <c r="A78" s="86" t="s">
        <v>14</v>
      </c>
      <c r="B78" s="143" t="s">
        <v>95</v>
      </c>
      <c r="C78" s="143"/>
      <c r="D78" s="143"/>
      <c r="E78" s="143"/>
      <c r="F78" s="144"/>
      <c r="G78" s="4"/>
      <c r="H78" s="6"/>
      <c r="I78" s="5"/>
    </row>
    <row r="79" spans="1:16" ht="35.15" customHeight="1" x14ac:dyDescent="0.35">
      <c r="A79" s="86" t="s">
        <v>15</v>
      </c>
      <c r="B79" s="143" t="s">
        <v>96</v>
      </c>
      <c r="C79" s="143"/>
      <c r="D79" s="143"/>
      <c r="E79" s="143"/>
      <c r="F79" s="144"/>
      <c r="G79" s="4"/>
      <c r="H79" s="5"/>
      <c r="I79" s="5"/>
    </row>
    <row r="80" spans="1:16" ht="35.15" customHeight="1" x14ac:dyDescent="0.35">
      <c r="A80" s="86" t="s">
        <v>16</v>
      </c>
      <c r="B80" s="143" t="s">
        <v>97</v>
      </c>
      <c r="C80" s="143"/>
      <c r="D80" s="143"/>
      <c r="E80" s="143"/>
      <c r="F80" s="144"/>
      <c r="G80" s="4"/>
      <c r="H80" s="118"/>
      <c r="I80" s="118"/>
    </row>
    <row r="81" spans="1:9" ht="40" customHeight="1" x14ac:dyDescent="0.35">
      <c r="A81" s="86" t="s">
        <v>38</v>
      </c>
      <c r="B81" s="143" t="s">
        <v>98</v>
      </c>
      <c r="C81" s="143"/>
      <c r="D81" s="143"/>
      <c r="E81" s="143"/>
      <c r="F81" s="144"/>
      <c r="G81" s="4"/>
      <c r="H81" s="74"/>
      <c r="I81" s="74"/>
    </row>
    <row r="82" spans="1:9" ht="30" customHeight="1" x14ac:dyDescent="0.35">
      <c r="A82" s="86"/>
      <c r="B82" s="2"/>
      <c r="C82" s="26"/>
      <c r="D82" s="2"/>
      <c r="E82" s="183"/>
      <c r="F82" s="184"/>
      <c r="G82" s="72"/>
      <c r="H82" s="20" t="e">
        <f>AVERAGEIF(G74:G81, "&gt;=0")</f>
        <v>#DIV/0!</v>
      </c>
      <c r="I82" s="108"/>
    </row>
    <row r="83" spans="1:9" ht="30" customHeight="1" x14ac:dyDescent="0.35">
      <c r="A83" s="127" t="s">
        <v>17</v>
      </c>
      <c r="B83" s="127"/>
      <c r="C83" s="127"/>
      <c r="D83" s="127"/>
      <c r="E83" s="127"/>
      <c r="F83" s="127"/>
      <c r="G83" s="5"/>
      <c r="H83" s="6"/>
      <c r="I83" s="5"/>
    </row>
    <row r="84" spans="1:9" ht="40" customHeight="1" x14ac:dyDescent="0.35">
      <c r="A84" s="86" t="s">
        <v>18</v>
      </c>
      <c r="B84" s="158" t="s">
        <v>99</v>
      </c>
      <c r="C84" s="158"/>
      <c r="D84" s="158"/>
      <c r="E84" s="158"/>
      <c r="F84" s="159"/>
      <c r="G84" s="4"/>
      <c r="H84" s="6"/>
      <c r="I84" s="5"/>
    </row>
    <row r="85" spans="1:9" ht="60" customHeight="1" x14ac:dyDescent="0.35">
      <c r="A85" s="86" t="s">
        <v>19</v>
      </c>
      <c r="B85" s="143" t="s">
        <v>100</v>
      </c>
      <c r="C85" s="143"/>
      <c r="D85" s="143"/>
      <c r="E85" s="143"/>
      <c r="F85" s="144"/>
      <c r="G85" s="4"/>
      <c r="H85" s="6"/>
      <c r="I85" s="5"/>
    </row>
    <row r="86" spans="1:9" ht="43" customHeight="1" x14ac:dyDescent="0.35">
      <c r="A86" s="86" t="s">
        <v>20</v>
      </c>
      <c r="B86" s="143" t="s">
        <v>101</v>
      </c>
      <c r="C86" s="143"/>
      <c r="D86" s="143"/>
      <c r="E86" s="143"/>
      <c r="F86" s="144"/>
      <c r="G86" s="4"/>
      <c r="H86" s="6"/>
      <c r="I86" s="5"/>
    </row>
    <row r="87" spans="1:9" ht="43" customHeight="1" x14ac:dyDescent="0.35">
      <c r="A87" s="86" t="s">
        <v>23</v>
      </c>
      <c r="B87" s="143" t="s">
        <v>102</v>
      </c>
      <c r="C87" s="143"/>
      <c r="D87" s="143"/>
      <c r="E87" s="143"/>
      <c r="F87" s="144"/>
      <c r="G87" s="4"/>
      <c r="H87" s="6"/>
      <c r="I87" s="5"/>
    </row>
    <row r="88" spans="1:9" ht="43" customHeight="1" x14ac:dyDescent="0.35">
      <c r="A88" s="86" t="s">
        <v>24</v>
      </c>
      <c r="B88" s="143" t="s">
        <v>103</v>
      </c>
      <c r="C88" s="143"/>
      <c r="D88" s="143"/>
      <c r="E88" s="143"/>
      <c r="F88" s="144"/>
      <c r="G88" s="4"/>
      <c r="H88" s="6"/>
      <c r="I88" s="5"/>
    </row>
    <row r="89" spans="1:9" ht="43" customHeight="1" x14ac:dyDescent="0.35">
      <c r="A89" s="85" t="s">
        <v>37</v>
      </c>
      <c r="B89" s="143" t="s">
        <v>104</v>
      </c>
      <c r="C89" s="143"/>
      <c r="D89" s="143"/>
      <c r="E89" s="143"/>
      <c r="F89" s="144"/>
      <c r="G89" s="4"/>
      <c r="H89" s="6"/>
      <c r="I89" s="5"/>
    </row>
    <row r="90" spans="1:9" ht="43" customHeight="1" x14ac:dyDescent="0.35">
      <c r="A90" s="86" t="s">
        <v>39</v>
      </c>
      <c r="B90" s="143" t="s">
        <v>105</v>
      </c>
      <c r="C90" s="143"/>
      <c r="D90" s="143"/>
      <c r="E90" s="143"/>
      <c r="F90" s="144"/>
      <c r="G90" s="4"/>
      <c r="H90" s="6"/>
      <c r="I90" s="5"/>
    </row>
    <row r="91" spans="1:9" ht="43" customHeight="1" x14ac:dyDescent="0.35">
      <c r="A91" s="86" t="s">
        <v>40</v>
      </c>
      <c r="B91" s="158" t="s">
        <v>106</v>
      </c>
      <c r="C91" s="143"/>
      <c r="D91" s="143"/>
      <c r="E91" s="143"/>
      <c r="F91" s="144"/>
      <c r="G91" s="4"/>
      <c r="H91" s="6"/>
      <c r="I91" s="5"/>
    </row>
    <row r="92" spans="1:9" ht="30" customHeight="1" x14ac:dyDescent="0.35">
      <c r="A92" s="87"/>
      <c r="B92" s="2"/>
      <c r="C92" s="26"/>
      <c r="D92" s="2"/>
      <c r="E92" s="2"/>
      <c r="F92" s="21"/>
      <c r="G92" s="2"/>
      <c r="H92" s="20" t="e">
        <f>AVERAGEIF(G84:G91, "&gt;=0")</f>
        <v>#DIV/0!</v>
      </c>
      <c r="I92" s="5"/>
    </row>
    <row r="93" spans="1:9" ht="30" customHeight="1" x14ac:dyDescent="0.35">
      <c r="A93" s="163" t="s">
        <v>21</v>
      </c>
      <c r="B93" s="164"/>
      <c r="C93" s="164"/>
      <c r="D93" s="164"/>
      <c r="E93" s="164"/>
      <c r="F93" s="126"/>
      <c r="G93" s="19"/>
      <c r="H93" s="34"/>
      <c r="I93" s="5"/>
    </row>
    <row r="94" spans="1:9" ht="40" customHeight="1" x14ac:dyDescent="0.35">
      <c r="A94" s="86" t="s">
        <v>22</v>
      </c>
      <c r="B94" s="143" t="s">
        <v>107</v>
      </c>
      <c r="C94" s="143"/>
      <c r="D94" s="143"/>
      <c r="E94" s="143"/>
      <c r="F94" s="144"/>
      <c r="G94" s="4"/>
      <c r="H94" s="34"/>
      <c r="I94" s="5"/>
    </row>
    <row r="95" spans="1:9" ht="40" customHeight="1" x14ac:dyDescent="0.35">
      <c r="A95" s="86" t="s">
        <v>76</v>
      </c>
      <c r="B95" s="143" t="s">
        <v>108</v>
      </c>
      <c r="C95" s="143"/>
      <c r="D95" s="143"/>
      <c r="E95" s="143"/>
      <c r="F95" s="144"/>
      <c r="G95" s="4"/>
      <c r="H95" s="34"/>
      <c r="I95" s="5"/>
    </row>
    <row r="96" spans="1:9" ht="30" customHeight="1" x14ac:dyDescent="0.35">
      <c r="A96" s="87"/>
      <c r="B96" s="2"/>
      <c r="C96" s="26"/>
      <c r="D96" s="2"/>
      <c r="E96" s="2"/>
      <c r="F96" s="6"/>
      <c r="G96" s="33"/>
      <c r="H96" s="20" t="e">
        <f>AVERAGEIF(G94:G95, "&gt;=0")</f>
        <v>#DIV/0!</v>
      </c>
      <c r="I96" s="6"/>
    </row>
    <row r="97" spans="1:9" ht="30" customHeight="1" x14ac:dyDescent="0.35">
      <c r="A97" s="88"/>
      <c r="B97" s="22"/>
      <c r="C97" s="40"/>
      <c r="D97" s="22"/>
      <c r="E97" s="22"/>
      <c r="F97" s="75"/>
      <c r="G97" s="72"/>
      <c r="H97" s="14"/>
      <c r="I97" s="20" t="e">
        <f>AVERAGEIF($H$82:$H$96, "&gt;=0")</f>
        <v>#DIV/0!</v>
      </c>
    </row>
    <row r="98" spans="1:9" ht="30" customHeight="1" x14ac:dyDescent="0.35">
      <c r="A98" s="91"/>
      <c r="B98" s="2"/>
      <c r="C98" s="26"/>
      <c r="D98" s="2"/>
      <c r="E98" s="2"/>
      <c r="F98" s="2"/>
      <c r="G98" s="37"/>
      <c r="H98" s="37"/>
      <c r="I98" s="76"/>
    </row>
    <row r="99" spans="1:9" ht="30" customHeight="1" x14ac:dyDescent="0.35">
      <c r="A99" s="155" t="s">
        <v>109</v>
      </c>
      <c r="B99" s="156"/>
      <c r="C99" s="156"/>
      <c r="D99" s="156"/>
      <c r="E99" s="156"/>
      <c r="F99" s="157"/>
      <c r="G99" s="77"/>
      <c r="H99" s="77"/>
      <c r="I99" s="78"/>
    </row>
    <row r="100" spans="1:9" ht="30" customHeight="1" x14ac:dyDescent="0.35">
      <c r="A100" s="155" t="s">
        <v>11</v>
      </c>
      <c r="B100" s="156"/>
      <c r="C100" s="156"/>
      <c r="D100" s="156"/>
      <c r="E100" s="156"/>
      <c r="F100" s="157"/>
      <c r="G100" s="32"/>
      <c r="H100" s="32"/>
      <c r="I100" s="34"/>
    </row>
    <row r="101" spans="1:9" ht="40" customHeight="1" x14ac:dyDescent="0.35">
      <c r="A101" s="86" t="s">
        <v>12</v>
      </c>
      <c r="B101" s="158" t="s">
        <v>110</v>
      </c>
      <c r="C101" s="158"/>
      <c r="D101" s="158"/>
      <c r="E101" s="158"/>
      <c r="F101" s="159"/>
      <c r="G101" s="4"/>
      <c r="H101" s="6"/>
      <c r="I101" s="5"/>
    </row>
    <row r="102" spans="1:9" ht="30" customHeight="1" x14ac:dyDescent="0.35">
      <c r="A102" s="86"/>
      <c r="B102" s="2"/>
      <c r="C102" s="26"/>
      <c r="D102" s="2"/>
      <c r="E102" s="181"/>
      <c r="F102" s="182"/>
      <c r="G102" s="2"/>
      <c r="H102" s="20" t="e">
        <f>AVERAGEIF(G101:G101, "&gt;=0")</f>
        <v>#DIV/0!</v>
      </c>
      <c r="I102" s="5"/>
    </row>
    <row r="103" spans="1:9" ht="30" customHeight="1" x14ac:dyDescent="0.35">
      <c r="A103" s="163" t="s">
        <v>17</v>
      </c>
      <c r="B103" s="164"/>
      <c r="C103" s="164"/>
      <c r="D103" s="164"/>
      <c r="E103" s="164"/>
      <c r="F103" s="126"/>
      <c r="G103" s="5"/>
      <c r="H103" s="6"/>
      <c r="I103" s="5"/>
    </row>
    <row r="104" spans="1:9" ht="35.15" customHeight="1" x14ac:dyDescent="0.35">
      <c r="A104" s="86" t="s">
        <v>18</v>
      </c>
      <c r="B104" s="143" t="s">
        <v>111</v>
      </c>
      <c r="C104" s="143"/>
      <c r="D104" s="143"/>
      <c r="E104" s="143"/>
      <c r="F104" s="144"/>
      <c r="G104" s="20" t="e">
        <f>AVERAGEIF(F105:F116, "&gt;=0")</f>
        <v>#DIV/0!</v>
      </c>
      <c r="H104" s="6"/>
      <c r="I104" s="5"/>
    </row>
    <row r="105" spans="1:9" ht="30" customHeight="1" x14ac:dyDescent="0.35">
      <c r="A105" s="86"/>
      <c r="B105" s="35" t="s">
        <v>114</v>
      </c>
      <c r="C105" s="143" t="s">
        <v>113</v>
      </c>
      <c r="D105" s="143"/>
      <c r="E105" s="144"/>
      <c r="F105" s="4"/>
      <c r="G105" s="34"/>
      <c r="H105" s="6"/>
      <c r="I105" s="5"/>
    </row>
    <row r="106" spans="1:9" ht="30" customHeight="1" x14ac:dyDescent="0.35">
      <c r="A106" s="86"/>
      <c r="B106" s="35" t="s">
        <v>115</v>
      </c>
      <c r="C106" s="143" t="s">
        <v>112</v>
      </c>
      <c r="D106" s="143"/>
      <c r="E106" s="144"/>
      <c r="F106" s="4"/>
      <c r="G106" s="34"/>
      <c r="H106" s="6"/>
      <c r="I106" s="5"/>
    </row>
    <row r="107" spans="1:9" ht="30" customHeight="1" x14ac:dyDescent="0.35">
      <c r="A107" s="86"/>
      <c r="B107" s="35" t="s">
        <v>116</v>
      </c>
      <c r="C107" s="143" t="s">
        <v>126</v>
      </c>
      <c r="D107" s="143"/>
      <c r="E107" s="144"/>
      <c r="F107" s="4"/>
      <c r="G107" s="34"/>
      <c r="H107" s="6"/>
      <c r="I107" s="5"/>
    </row>
    <row r="108" spans="1:9" ht="30" customHeight="1" x14ac:dyDescent="0.35">
      <c r="A108" s="86"/>
      <c r="B108" s="35" t="s">
        <v>117</v>
      </c>
      <c r="C108" s="143" t="s">
        <v>127</v>
      </c>
      <c r="D108" s="143"/>
      <c r="E108" s="144"/>
      <c r="F108" s="4"/>
      <c r="G108" s="34"/>
      <c r="H108" s="6"/>
      <c r="I108" s="5"/>
    </row>
    <row r="109" spans="1:9" ht="30" customHeight="1" x14ac:dyDescent="0.35">
      <c r="A109" s="86"/>
      <c r="B109" s="35" t="s">
        <v>118</v>
      </c>
      <c r="C109" s="143" t="s">
        <v>128</v>
      </c>
      <c r="D109" s="143"/>
      <c r="E109" s="144"/>
      <c r="F109" s="4"/>
      <c r="G109" s="34"/>
      <c r="H109" s="6"/>
      <c r="I109" s="5"/>
    </row>
    <row r="110" spans="1:9" ht="30" customHeight="1" x14ac:dyDescent="0.35">
      <c r="A110" s="86"/>
      <c r="B110" s="35" t="s">
        <v>119</v>
      </c>
      <c r="C110" s="143" t="s">
        <v>129</v>
      </c>
      <c r="D110" s="143"/>
      <c r="E110" s="144"/>
      <c r="F110" s="4"/>
      <c r="G110" s="34"/>
      <c r="H110" s="6"/>
      <c r="I110" s="5"/>
    </row>
    <row r="111" spans="1:9" ht="30" customHeight="1" x14ac:dyDescent="0.35">
      <c r="A111" s="86"/>
      <c r="B111" s="35" t="s">
        <v>120</v>
      </c>
      <c r="C111" s="143" t="s">
        <v>130</v>
      </c>
      <c r="D111" s="143"/>
      <c r="E111" s="144"/>
      <c r="F111" s="4"/>
      <c r="G111" s="34"/>
      <c r="H111" s="6"/>
      <c r="I111" s="5"/>
    </row>
    <row r="112" spans="1:9" ht="30" customHeight="1" x14ac:dyDescent="0.35">
      <c r="A112" s="86"/>
      <c r="B112" s="35" t="s">
        <v>121</v>
      </c>
      <c r="C112" s="143" t="s">
        <v>131</v>
      </c>
      <c r="D112" s="143"/>
      <c r="E112" s="144"/>
      <c r="F112" s="4"/>
      <c r="G112" s="34"/>
      <c r="H112" s="6"/>
      <c r="I112" s="5"/>
    </row>
    <row r="113" spans="1:9" ht="30" customHeight="1" x14ac:dyDescent="0.35">
      <c r="A113" s="86"/>
      <c r="B113" s="35" t="s">
        <v>122</v>
      </c>
      <c r="C113" s="143" t="s">
        <v>132</v>
      </c>
      <c r="D113" s="143"/>
      <c r="E113" s="144"/>
      <c r="F113" s="4"/>
      <c r="G113" s="34"/>
      <c r="H113" s="6"/>
      <c r="I113" s="5"/>
    </row>
    <row r="114" spans="1:9" ht="30" customHeight="1" x14ac:dyDescent="0.35">
      <c r="A114" s="86"/>
      <c r="B114" s="35" t="s">
        <v>123</v>
      </c>
      <c r="C114" s="143" t="s">
        <v>133</v>
      </c>
      <c r="D114" s="143"/>
      <c r="E114" s="144"/>
      <c r="F114" s="4"/>
      <c r="G114" s="34"/>
      <c r="H114" s="6"/>
      <c r="I114" s="5"/>
    </row>
    <row r="115" spans="1:9" ht="30" customHeight="1" x14ac:dyDescent="0.35">
      <c r="A115" s="86"/>
      <c r="B115" s="35" t="s">
        <v>124</v>
      </c>
      <c r="C115" s="143" t="s">
        <v>134</v>
      </c>
      <c r="D115" s="143"/>
      <c r="E115" s="144"/>
      <c r="F115" s="4"/>
      <c r="G115" s="34"/>
      <c r="H115" s="6"/>
      <c r="I115" s="5"/>
    </row>
    <row r="116" spans="1:9" ht="30" customHeight="1" x14ac:dyDescent="0.35">
      <c r="A116" s="86"/>
      <c r="B116" s="35" t="s">
        <v>125</v>
      </c>
      <c r="C116" s="143" t="s">
        <v>160</v>
      </c>
      <c r="D116" s="143"/>
      <c r="E116" s="144"/>
      <c r="F116" s="4"/>
      <c r="G116" s="34"/>
      <c r="H116" s="6"/>
      <c r="I116" s="5"/>
    </row>
    <row r="117" spans="1:9" ht="40" customHeight="1" x14ac:dyDescent="0.35">
      <c r="A117" s="86" t="s">
        <v>19</v>
      </c>
      <c r="B117" s="143" t="s">
        <v>135</v>
      </c>
      <c r="C117" s="143"/>
      <c r="D117" s="143"/>
      <c r="E117" s="143"/>
      <c r="F117" s="144"/>
      <c r="G117" s="4"/>
      <c r="H117" s="6"/>
      <c r="I117" s="5"/>
    </row>
    <row r="118" spans="1:9" ht="60" customHeight="1" x14ac:dyDescent="0.35">
      <c r="A118" s="86" t="s">
        <v>20</v>
      </c>
      <c r="B118" s="143" t="s">
        <v>136</v>
      </c>
      <c r="C118" s="143"/>
      <c r="D118" s="143"/>
      <c r="E118" s="143"/>
      <c r="F118" s="144"/>
      <c r="G118" s="4"/>
      <c r="H118" s="5"/>
      <c r="I118" s="5"/>
    </row>
    <row r="119" spans="1:9" ht="40" customHeight="1" x14ac:dyDescent="0.35">
      <c r="A119" s="86" t="s">
        <v>23</v>
      </c>
      <c r="B119" s="143" t="s">
        <v>137</v>
      </c>
      <c r="C119" s="143"/>
      <c r="D119" s="143"/>
      <c r="E119" s="143"/>
      <c r="F119" s="144"/>
      <c r="G119" s="4"/>
      <c r="H119" s="115"/>
      <c r="I119" s="115"/>
    </row>
    <row r="120" spans="1:9" ht="40" customHeight="1" x14ac:dyDescent="0.35">
      <c r="A120" s="86" t="s">
        <v>24</v>
      </c>
      <c r="B120" s="143" t="s">
        <v>138</v>
      </c>
      <c r="C120" s="143"/>
      <c r="D120" s="143"/>
      <c r="E120" s="143"/>
      <c r="F120" s="144"/>
      <c r="G120" s="4"/>
      <c r="H120" s="74"/>
      <c r="I120" s="74"/>
    </row>
    <row r="121" spans="1:9" ht="30" customHeight="1" x14ac:dyDescent="0.35">
      <c r="A121" s="87"/>
      <c r="B121" s="2"/>
      <c r="C121" s="26"/>
      <c r="D121" s="2"/>
      <c r="E121" s="2"/>
      <c r="F121" s="21"/>
      <c r="G121" s="2"/>
      <c r="H121" s="20" t="e">
        <f>AVERAGEIF(G104:G120, "&gt;=0")</f>
        <v>#DIV/0!</v>
      </c>
      <c r="I121" s="5"/>
    </row>
    <row r="122" spans="1:9" ht="30" customHeight="1" x14ac:dyDescent="0.35">
      <c r="A122" s="163" t="s">
        <v>21</v>
      </c>
      <c r="B122" s="164"/>
      <c r="C122" s="164"/>
      <c r="D122" s="164"/>
      <c r="E122" s="164"/>
      <c r="F122" s="126"/>
      <c r="G122" s="19"/>
      <c r="H122" s="6"/>
      <c r="I122" s="5"/>
    </row>
    <row r="123" spans="1:9" ht="40" customHeight="1" x14ac:dyDescent="0.35">
      <c r="A123" s="86" t="s">
        <v>22</v>
      </c>
      <c r="B123" s="143" t="s">
        <v>139</v>
      </c>
      <c r="C123" s="143"/>
      <c r="D123" s="143"/>
      <c r="E123" s="143"/>
      <c r="F123" s="144"/>
      <c r="G123" s="4"/>
      <c r="H123" s="6"/>
      <c r="I123" s="5"/>
    </row>
    <row r="124" spans="1:9" ht="40" customHeight="1" x14ac:dyDescent="0.35">
      <c r="A124" s="86" t="s">
        <v>76</v>
      </c>
      <c r="B124" s="143" t="s">
        <v>140</v>
      </c>
      <c r="C124" s="143"/>
      <c r="D124" s="143"/>
      <c r="E124" s="143"/>
      <c r="F124" s="144"/>
      <c r="G124" s="4"/>
      <c r="H124" s="6"/>
      <c r="I124" s="5"/>
    </row>
    <row r="125" spans="1:9" ht="30" customHeight="1" x14ac:dyDescent="0.35">
      <c r="A125" s="92"/>
      <c r="B125" s="37"/>
      <c r="C125" s="38"/>
      <c r="D125" s="37"/>
      <c r="E125" s="37"/>
      <c r="F125" s="39"/>
      <c r="G125" s="33"/>
      <c r="H125" s="20" t="e">
        <f>AVERAGEIF(G123:G124, "&gt;=0")</f>
        <v>#DIV/0!</v>
      </c>
      <c r="I125" s="6"/>
    </row>
    <row r="126" spans="1:9" ht="30" customHeight="1" x14ac:dyDescent="0.35">
      <c r="A126" s="88"/>
      <c r="B126" s="22"/>
      <c r="C126" s="40"/>
      <c r="D126" s="22"/>
      <c r="E126" s="22"/>
      <c r="F126" s="75"/>
      <c r="G126" s="53"/>
      <c r="H126" s="14"/>
      <c r="I126" s="20" t="e">
        <f>AVERAGEIF($H$102:$H$125, "&gt;=0")</f>
        <v>#DIV/0!</v>
      </c>
    </row>
    <row r="127" spans="1:9" s="45" customFormat="1" ht="25" customHeight="1" x14ac:dyDescent="0.35">
      <c r="A127" s="93"/>
      <c r="B127" s="68"/>
      <c r="C127" s="69"/>
      <c r="D127" s="68"/>
      <c r="E127" s="68"/>
      <c r="F127" s="46"/>
      <c r="G127" s="55"/>
      <c r="H127" s="55"/>
      <c r="I127" s="41"/>
    </row>
    <row r="128" spans="1:9" s="45" customFormat="1" ht="30" customHeight="1" x14ac:dyDescent="0.35">
      <c r="A128" s="140" t="s">
        <v>141</v>
      </c>
      <c r="B128" s="141"/>
      <c r="C128" s="141"/>
      <c r="D128" s="141"/>
      <c r="E128" s="141"/>
      <c r="F128" s="142"/>
      <c r="G128" s="43"/>
      <c r="H128" s="43"/>
      <c r="I128" s="44"/>
    </row>
    <row r="129" spans="1:10" s="45" customFormat="1" ht="30" customHeight="1" x14ac:dyDescent="0.35">
      <c r="A129" s="140" t="s">
        <v>11</v>
      </c>
      <c r="B129" s="141"/>
      <c r="C129" s="141"/>
      <c r="D129" s="141"/>
      <c r="E129" s="141"/>
      <c r="F129" s="142"/>
      <c r="G129" s="43"/>
      <c r="H129" s="43"/>
      <c r="I129" s="44"/>
    </row>
    <row r="130" spans="1:10" s="45" customFormat="1" ht="30" customHeight="1" x14ac:dyDescent="0.35">
      <c r="A130" s="140" t="s">
        <v>143</v>
      </c>
      <c r="B130" s="141"/>
      <c r="C130" s="141"/>
      <c r="D130" s="141"/>
      <c r="E130" s="141"/>
      <c r="F130" s="142"/>
      <c r="G130" s="43"/>
      <c r="H130" s="43"/>
      <c r="I130" s="44"/>
    </row>
    <row r="131" spans="1:10" s="45" customFormat="1" ht="40" customHeight="1" x14ac:dyDescent="0.35">
      <c r="A131" s="94" t="s">
        <v>12</v>
      </c>
      <c r="B131" s="149" t="s">
        <v>142</v>
      </c>
      <c r="C131" s="149"/>
      <c r="D131" s="149"/>
      <c r="E131" s="149"/>
      <c r="F131" s="150"/>
      <c r="G131" s="4"/>
      <c r="H131" s="46"/>
      <c r="I131" s="47"/>
    </row>
    <row r="132" spans="1:10" s="45" customFormat="1" ht="35.15" customHeight="1" x14ac:dyDescent="0.35">
      <c r="A132" s="94" t="s">
        <v>13</v>
      </c>
      <c r="B132" s="145" t="s">
        <v>144</v>
      </c>
      <c r="C132" s="145"/>
      <c r="D132" s="145"/>
      <c r="E132" s="145"/>
      <c r="F132" s="146"/>
      <c r="G132" s="4"/>
      <c r="H132" s="46"/>
      <c r="I132" s="47"/>
    </row>
    <row r="133" spans="1:10" s="45" customFormat="1" ht="30" customHeight="1" x14ac:dyDescent="0.35">
      <c r="A133" s="140" t="s">
        <v>146</v>
      </c>
      <c r="B133" s="141"/>
      <c r="C133" s="141"/>
      <c r="D133" s="141"/>
      <c r="E133" s="141"/>
      <c r="F133" s="142"/>
      <c r="G133" s="43"/>
      <c r="H133" s="43"/>
      <c r="I133" s="44"/>
    </row>
    <row r="134" spans="1:10" s="45" customFormat="1" ht="40" customHeight="1" x14ac:dyDescent="0.35">
      <c r="A134" s="94" t="s">
        <v>14</v>
      </c>
      <c r="B134" s="145" t="s">
        <v>145</v>
      </c>
      <c r="C134" s="145"/>
      <c r="D134" s="145"/>
      <c r="E134" s="145"/>
      <c r="F134" s="146"/>
      <c r="G134" s="4"/>
      <c r="H134" s="46"/>
      <c r="I134" s="47"/>
    </row>
    <row r="135" spans="1:10" s="45" customFormat="1" ht="40" customHeight="1" x14ac:dyDescent="0.35">
      <c r="A135" s="94" t="s">
        <v>15</v>
      </c>
      <c r="B135" s="145" t="s">
        <v>199</v>
      </c>
      <c r="C135" s="145"/>
      <c r="D135" s="145"/>
      <c r="E135" s="145"/>
      <c r="F135" s="146"/>
      <c r="G135" s="4"/>
      <c r="H135" s="46"/>
      <c r="I135" s="47"/>
    </row>
    <row r="136" spans="1:10" s="45" customFormat="1" ht="40" customHeight="1" x14ac:dyDescent="0.35">
      <c r="A136" s="94" t="s">
        <v>16</v>
      </c>
      <c r="B136" s="145" t="s">
        <v>147</v>
      </c>
      <c r="C136" s="145"/>
      <c r="D136" s="145"/>
      <c r="E136" s="145"/>
      <c r="F136" s="146"/>
      <c r="G136" s="4"/>
      <c r="H136" s="46"/>
      <c r="I136" s="47"/>
    </row>
    <row r="137" spans="1:10" s="45" customFormat="1" ht="35.15" customHeight="1" x14ac:dyDescent="0.35">
      <c r="A137" s="94" t="s">
        <v>38</v>
      </c>
      <c r="B137" s="145" t="s">
        <v>148</v>
      </c>
      <c r="C137" s="145"/>
      <c r="D137" s="145"/>
      <c r="E137" s="145"/>
      <c r="F137" s="146"/>
      <c r="G137" s="4"/>
      <c r="H137" s="47"/>
      <c r="I137" s="47"/>
      <c r="J137" s="68"/>
    </row>
    <row r="138" spans="1:10" s="45" customFormat="1" ht="35.15" customHeight="1" x14ac:dyDescent="0.35">
      <c r="A138" s="94" t="s">
        <v>41</v>
      </c>
      <c r="B138" s="145" t="s">
        <v>149</v>
      </c>
      <c r="C138" s="145"/>
      <c r="D138" s="145"/>
      <c r="E138" s="145"/>
      <c r="F138" s="146"/>
      <c r="G138" s="4"/>
      <c r="H138" s="47"/>
      <c r="I138" s="47"/>
    </row>
    <row r="139" spans="1:10" s="45" customFormat="1" ht="30" customHeight="1" x14ac:dyDescent="0.35">
      <c r="A139" s="140" t="s">
        <v>159</v>
      </c>
      <c r="B139" s="141"/>
      <c r="C139" s="141"/>
      <c r="D139" s="141"/>
      <c r="E139" s="141"/>
      <c r="F139" s="142"/>
      <c r="G139" s="112"/>
      <c r="H139" s="112"/>
      <c r="I139" s="113"/>
    </row>
    <row r="140" spans="1:10" s="45" customFormat="1" ht="40" customHeight="1" x14ac:dyDescent="0.35">
      <c r="A140" s="94" t="s">
        <v>43</v>
      </c>
      <c r="B140" s="145" t="s">
        <v>150</v>
      </c>
      <c r="C140" s="145"/>
      <c r="D140" s="145"/>
      <c r="E140" s="145"/>
      <c r="F140" s="146"/>
      <c r="G140" s="4"/>
      <c r="H140" s="105"/>
      <c r="I140" s="109"/>
    </row>
    <row r="141" spans="1:10" s="45" customFormat="1" ht="35.15" customHeight="1" x14ac:dyDescent="0.35">
      <c r="A141" s="94" t="s">
        <v>44</v>
      </c>
      <c r="B141" s="145" t="s">
        <v>151</v>
      </c>
      <c r="C141" s="145"/>
      <c r="D141" s="145"/>
      <c r="E141" s="145"/>
      <c r="F141" s="146"/>
      <c r="G141" s="20" t="e">
        <f>AVERAGEIF(F142:F158, "&gt;=0")</f>
        <v>#DIV/0!</v>
      </c>
      <c r="H141" s="46"/>
      <c r="I141" s="47"/>
    </row>
    <row r="142" spans="1:10" ht="30" customHeight="1" x14ac:dyDescent="0.35">
      <c r="A142" s="86"/>
      <c r="B142" s="35" t="s">
        <v>161</v>
      </c>
      <c r="C142" s="143" t="s">
        <v>173</v>
      </c>
      <c r="D142" s="143"/>
      <c r="E142" s="144"/>
      <c r="F142" s="4"/>
      <c r="G142" s="34"/>
      <c r="H142" s="6"/>
      <c r="I142" s="5"/>
    </row>
    <row r="143" spans="1:10" ht="30" customHeight="1" x14ac:dyDescent="0.35">
      <c r="A143" s="86"/>
      <c r="B143" s="35" t="s">
        <v>162</v>
      </c>
      <c r="C143" s="143" t="s">
        <v>174</v>
      </c>
      <c r="D143" s="143"/>
      <c r="E143" s="144"/>
      <c r="F143" s="4"/>
      <c r="G143" s="34"/>
      <c r="H143" s="6"/>
      <c r="I143" s="5"/>
    </row>
    <row r="144" spans="1:10" ht="30" customHeight="1" x14ac:dyDescent="0.35">
      <c r="A144" s="86"/>
      <c r="B144" s="35" t="s">
        <v>163</v>
      </c>
      <c r="C144" s="143" t="s">
        <v>175</v>
      </c>
      <c r="D144" s="143"/>
      <c r="E144" s="144"/>
      <c r="F144" s="4"/>
      <c r="G144" s="34"/>
      <c r="H144" s="6"/>
      <c r="I144" s="5"/>
    </row>
    <row r="145" spans="1:9" ht="30" customHeight="1" x14ac:dyDescent="0.35">
      <c r="A145" s="86"/>
      <c r="B145" s="35" t="s">
        <v>164</v>
      </c>
      <c r="C145" s="143" t="s">
        <v>176</v>
      </c>
      <c r="D145" s="143"/>
      <c r="E145" s="144"/>
      <c r="F145" s="4"/>
      <c r="G145" s="34"/>
      <c r="H145" s="6"/>
      <c r="I145" s="5"/>
    </row>
    <row r="146" spans="1:9" ht="30" customHeight="1" x14ac:dyDescent="0.35">
      <c r="A146" s="86"/>
      <c r="B146" s="35" t="s">
        <v>165</v>
      </c>
      <c r="C146" s="143" t="s">
        <v>177</v>
      </c>
      <c r="D146" s="143"/>
      <c r="E146" s="144"/>
      <c r="F146" s="4"/>
      <c r="G146" s="34"/>
      <c r="H146" s="6"/>
      <c r="I146" s="5"/>
    </row>
    <row r="147" spans="1:9" ht="30" customHeight="1" x14ac:dyDescent="0.35">
      <c r="A147" s="86"/>
      <c r="B147" s="35" t="s">
        <v>166</v>
      </c>
      <c r="C147" s="143" t="s">
        <v>178</v>
      </c>
      <c r="D147" s="143"/>
      <c r="E147" s="144"/>
      <c r="F147" s="4"/>
      <c r="G147" s="34"/>
      <c r="H147" s="6"/>
      <c r="I147" s="5"/>
    </row>
    <row r="148" spans="1:9" ht="30" customHeight="1" x14ac:dyDescent="0.35">
      <c r="A148" s="86"/>
      <c r="B148" s="35" t="s">
        <v>167</v>
      </c>
      <c r="C148" s="143" t="s">
        <v>179</v>
      </c>
      <c r="D148" s="143"/>
      <c r="E148" s="144"/>
      <c r="F148" s="4"/>
      <c r="G148" s="34"/>
      <c r="H148" s="6"/>
      <c r="I148" s="5"/>
    </row>
    <row r="149" spans="1:9" ht="30" customHeight="1" x14ac:dyDescent="0.35">
      <c r="A149" s="86"/>
      <c r="B149" s="35" t="s">
        <v>168</v>
      </c>
      <c r="C149" s="143" t="s">
        <v>180</v>
      </c>
      <c r="D149" s="143"/>
      <c r="E149" s="144"/>
      <c r="F149" s="4"/>
      <c r="G149" s="34"/>
      <c r="H149" s="6"/>
      <c r="I149" s="5"/>
    </row>
    <row r="150" spans="1:9" ht="30" customHeight="1" x14ac:dyDescent="0.35">
      <c r="A150" s="86"/>
      <c r="B150" s="35" t="s">
        <v>169</v>
      </c>
      <c r="C150" s="143" t="s">
        <v>181</v>
      </c>
      <c r="D150" s="143"/>
      <c r="E150" s="144"/>
      <c r="F150" s="4"/>
      <c r="G150" s="34"/>
      <c r="H150" s="6"/>
      <c r="I150" s="5"/>
    </row>
    <row r="151" spans="1:9" ht="30" customHeight="1" x14ac:dyDescent="0.35">
      <c r="A151" s="86"/>
      <c r="B151" s="36" t="s">
        <v>170</v>
      </c>
      <c r="C151" s="143" t="s">
        <v>182</v>
      </c>
      <c r="D151" s="143"/>
      <c r="E151" s="144"/>
      <c r="F151" s="4"/>
      <c r="G151" s="34"/>
      <c r="H151" s="6"/>
      <c r="I151" s="5"/>
    </row>
    <row r="152" spans="1:9" ht="30" customHeight="1" x14ac:dyDescent="0.35">
      <c r="A152" s="86"/>
      <c r="B152" s="36" t="s">
        <v>171</v>
      </c>
      <c r="C152" s="143" t="s">
        <v>183</v>
      </c>
      <c r="D152" s="143"/>
      <c r="E152" s="144"/>
      <c r="F152" s="4"/>
      <c r="G152" s="34"/>
      <c r="H152" s="6"/>
      <c r="I152" s="5"/>
    </row>
    <row r="153" spans="1:9" ht="30" customHeight="1" x14ac:dyDescent="0.35">
      <c r="A153" s="86"/>
      <c r="B153" s="36" t="s">
        <v>172</v>
      </c>
      <c r="C153" s="143" t="s">
        <v>184</v>
      </c>
      <c r="D153" s="143"/>
      <c r="E153" s="144"/>
      <c r="F153" s="4"/>
      <c r="G153" s="34"/>
      <c r="H153" s="6"/>
      <c r="I153" s="5"/>
    </row>
    <row r="154" spans="1:9" ht="30" customHeight="1" x14ac:dyDescent="0.35">
      <c r="A154" s="86"/>
      <c r="B154" s="36" t="s">
        <v>200</v>
      </c>
      <c r="C154" s="143" t="s">
        <v>209</v>
      </c>
      <c r="D154" s="143"/>
      <c r="E154" s="144"/>
      <c r="F154" s="4"/>
      <c r="G154" s="34"/>
      <c r="H154" s="6"/>
      <c r="I154" s="5"/>
    </row>
    <row r="155" spans="1:9" ht="30" customHeight="1" x14ac:dyDescent="0.35">
      <c r="A155" s="86"/>
      <c r="B155" s="36" t="s">
        <v>201</v>
      </c>
      <c r="C155" s="143" t="s">
        <v>208</v>
      </c>
      <c r="D155" s="143"/>
      <c r="E155" s="144"/>
      <c r="F155" s="4"/>
      <c r="G155" s="34"/>
      <c r="H155" s="6"/>
      <c r="I155" s="5"/>
    </row>
    <row r="156" spans="1:9" ht="30" customHeight="1" x14ac:dyDescent="0.35">
      <c r="A156" s="86"/>
      <c r="B156" s="36" t="s">
        <v>202</v>
      </c>
      <c r="C156" s="143" t="s">
        <v>207</v>
      </c>
      <c r="D156" s="143"/>
      <c r="E156" s="144"/>
      <c r="F156" s="4"/>
      <c r="G156" s="34"/>
      <c r="H156" s="6"/>
      <c r="I156" s="5"/>
    </row>
    <row r="157" spans="1:9" ht="30" customHeight="1" x14ac:dyDescent="0.35">
      <c r="A157" s="86"/>
      <c r="B157" s="36" t="s">
        <v>203</v>
      </c>
      <c r="C157" s="143" t="s">
        <v>206</v>
      </c>
      <c r="D157" s="143"/>
      <c r="E157" s="144"/>
      <c r="F157" s="4"/>
      <c r="G157" s="34"/>
      <c r="H157" s="6"/>
      <c r="I157" s="5"/>
    </row>
    <row r="158" spans="1:9" ht="30" customHeight="1" x14ac:dyDescent="0.35">
      <c r="A158" s="86"/>
      <c r="B158" s="36" t="s">
        <v>204</v>
      </c>
      <c r="C158" s="143" t="s">
        <v>205</v>
      </c>
      <c r="D158" s="143"/>
      <c r="E158" s="144"/>
      <c r="F158" s="4"/>
      <c r="G158" s="34"/>
      <c r="H158" s="6"/>
      <c r="I158" s="5"/>
    </row>
    <row r="159" spans="1:9" s="45" customFormat="1" ht="30" customHeight="1" x14ac:dyDescent="0.35">
      <c r="A159" s="140" t="s">
        <v>154</v>
      </c>
      <c r="B159" s="141"/>
      <c r="C159" s="141"/>
      <c r="D159" s="141"/>
      <c r="E159" s="141"/>
      <c r="F159" s="142"/>
      <c r="G159" s="111"/>
      <c r="H159" s="43"/>
      <c r="I159" s="44"/>
    </row>
    <row r="160" spans="1:9" s="45" customFormat="1" ht="30" customHeight="1" x14ac:dyDescent="0.35">
      <c r="A160" s="94" t="s">
        <v>45</v>
      </c>
      <c r="B160" s="145" t="s">
        <v>152</v>
      </c>
      <c r="C160" s="145"/>
      <c r="D160" s="145"/>
      <c r="E160" s="145"/>
      <c r="F160" s="146"/>
      <c r="G160" s="4"/>
      <c r="H160" s="47"/>
      <c r="I160" s="47"/>
    </row>
    <row r="161" spans="1:10" s="45" customFormat="1" ht="30" customHeight="1" x14ac:dyDescent="0.35">
      <c r="A161" s="94" t="s">
        <v>46</v>
      </c>
      <c r="B161" s="145" t="s">
        <v>153</v>
      </c>
      <c r="C161" s="145"/>
      <c r="D161" s="145"/>
      <c r="E161" s="145"/>
      <c r="F161" s="146"/>
      <c r="G161" s="4"/>
      <c r="H161" s="46"/>
      <c r="I161" s="47"/>
    </row>
    <row r="162" spans="1:10" s="45" customFormat="1" ht="30" customHeight="1" x14ac:dyDescent="0.35">
      <c r="A162" s="94" t="s">
        <v>47</v>
      </c>
      <c r="B162" s="145" t="s">
        <v>155</v>
      </c>
      <c r="C162" s="145"/>
      <c r="D162" s="145"/>
      <c r="E162" s="145"/>
      <c r="F162" s="146"/>
      <c r="G162" s="4"/>
      <c r="H162" s="58"/>
      <c r="I162" s="110"/>
    </row>
    <row r="163" spans="1:10" s="45" customFormat="1" ht="30" customHeight="1" x14ac:dyDescent="0.35">
      <c r="A163" s="140" t="s">
        <v>156</v>
      </c>
      <c r="B163" s="141"/>
      <c r="C163" s="141"/>
      <c r="D163" s="141"/>
      <c r="E163" s="141"/>
      <c r="F163" s="142"/>
      <c r="G163" s="80"/>
      <c r="H163" s="80"/>
      <c r="I163" s="81"/>
    </row>
    <row r="164" spans="1:10" s="45" customFormat="1" ht="35.15" customHeight="1" x14ac:dyDescent="0.35">
      <c r="A164" s="94" t="s">
        <v>48</v>
      </c>
      <c r="B164" s="145" t="s">
        <v>157</v>
      </c>
      <c r="C164" s="145"/>
      <c r="D164" s="145"/>
      <c r="E164" s="145"/>
      <c r="F164" s="146"/>
      <c r="G164" s="4"/>
      <c r="H164" s="46"/>
      <c r="I164" s="47"/>
    </row>
    <row r="165" spans="1:10" s="45" customFormat="1" ht="43" customHeight="1" x14ac:dyDescent="0.35">
      <c r="A165" s="94" t="s">
        <v>49</v>
      </c>
      <c r="B165" s="145" t="s">
        <v>158</v>
      </c>
      <c r="C165" s="145"/>
      <c r="D165" s="145"/>
      <c r="E165" s="145"/>
      <c r="F165" s="146"/>
      <c r="G165" s="4"/>
      <c r="H165" s="46"/>
      <c r="I165" s="47"/>
    </row>
    <row r="166" spans="1:10" s="45" customFormat="1" ht="30" customHeight="1" x14ac:dyDescent="0.35">
      <c r="A166" s="94"/>
      <c r="B166" s="68"/>
      <c r="C166" s="69"/>
      <c r="D166" s="68"/>
      <c r="E166" s="186"/>
      <c r="F166" s="187"/>
      <c r="H166" s="20" t="e">
        <f>AVERAGEIF(G131:G165, "&gt;=0")</f>
        <v>#DIV/0!</v>
      </c>
      <c r="I166" s="47"/>
    </row>
    <row r="167" spans="1:10" s="45" customFormat="1" ht="30" customHeight="1" x14ac:dyDescent="0.35">
      <c r="A167" s="154" t="s">
        <v>17</v>
      </c>
      <c r="B167" s="154"/>
      <c r="C167" s="154"/>
      <c r="D167" s="154"/>
      <c r="E167" s="154"/>
      <c r="F167" s="154"/>
      <c r="G167" s="47"/>
      <c r="H167" s="46"/>
      <c r="I167" s="47"/>
    </row>
    <row r="168" spans="1:10" s="45" customFormat="1" ht="30" customHeight="1" x14ac:dyDescent="0.35">
      <c r="A168" s="94" t="s">
        <v>18</v>
      </c>
      <c r="B168" s="145" t="s">
        <v>185</v>
      </c>
      <c r="C168" s="145"/>
      <c r="D168" s="145"/>
      <c r="E168" s="145"/>
      <c r="F168" s="146"/>
      <c r="G168" s="4"/>
      <c r="H168" s="46"/>
      <c r="I168" s="47"/>
    </row>
    <row r="169" spans="1:10" ht="30" customHeight="1" x14ac:dyDescent="0.35">
      <c r="A169" s="87"/>
      <c r="B169" s="2"/>
      <c r="C169" s="26"/>
      <c r="D169" s="2"/>
      <c r="E169" s="2"/>
      <c r="F169" s="6"/>
      <c r="G169" s="2"/>
      <c r="H169" s="20" t="e">
        <f>AVERAGEIF(G168:G168, "&gt;=0")</f>
        <v>#DIV/0!</v>
      </c>
      <c r="I169" s="5"/>
    </row>
    <row r="170" spans="1:10" s="45" customFormat="1" ht="30" customHeight="1" x14ac:dyDescent="0.35">
      <c r="A170" s="151" t="s">
        <v>21</v>
      </c>
      <c r="B170" s="152"/>
      <c r="C170" s="152"/>
      <c r="D170" s="152"/>
      <c r="E170" s="152"/>
      <c r="F170" s="153"/>
      <c r="G170" s="49"/>
      <c r="H170" s="46"/>
      <c r="I170" s="47"/>
    </row>
    <row r="171" spans="1:10" s="45" customFormat="1" ht="30" customHeight="1" x14ac:dyDescent="0.35">
      <c r="A171" s="94" t="s">
        <v>22</v>
      </c>
      <c r="B171" s="145" t="s">
        <v>186</v>
      </c>
      <c r="C171" s="145"/>
      <c r="D171" s="145"/>
      <c r="E171" s="145"/>
      <c r="F171" s="146"/>
      <c r="G171" s="4"/>
      <c r="H171" s="46"/>
      <c r="I171" s="47"/>
    </row>
    <row r="172" spans="1:10" s="45" customFormat="1" ht="40" customHeight="1" x14ac:dyDescent="0.35">
      <c r="A172" s="94" t="s">
        <v>76</v>
      </c>
      <c r="B172" s="145" t="s">
        <v>187</v>
      </c>
      <c r="C172" s="145"/>
      <c r="D172" s="145"/>
      <c r="E172" s="145"/>
      <c r="F172" s="146"/>
      <c r="G172" s="4"/>
      <c r="H172" s="46"/>
      <c r="I172" s="47"/>
    </row>
    <row r="173" spans="1:10" s="45" customFormat="1" ht="25" customHeight="1" x14ac:dyDescent="0.35">
      <c r="A173" s="95"/>
      <c r="B173" s="68"/>
      <c r="C173" s="69"/>
      <c r="D173" s="68"/>
      <c r="E173" s="68"/>
      <c r="F173" s="46"/>
      <c r="G173" s="50"/>
      <c r="H173" s="20" t="e">
        <f>AVERAGEIF(G171:G172, "&gt;=0")</f>
        <v>#DIV/0!</v>
      </c>
      <c r="I173" s="46"/>
    </row>
    <row r="174" spans="1:10" s="45" customFormat="1" ht="25" customHeight="1" x14ac:dyDescent="0.35">
      <c r="A174" s="96"/>
      <c r="B174" s="56"/>
      <c r="C174" s="57"/>
      <c r="D174" s="56"/>
      <c r="E174" s="56"/>
      <c r="F174" s="58"/>
      <c r="G174" s="51"/>
      <c r="H174" s="52"/>
      <c r="I174" s="20" t="e">
        <f>AVERAGEIF($H$166:$H$173, "&gt;=0")</f>
        <v>#DIV/0!</v>
      </c>
    </row>
    <row r="175" spans="1:10" s="45" customFormat="1" ht="25" customHeight="1" x14ac:dyDescent="0.35">
      <c r="A175" s="114"/>
      <c r="B175" s="68"/>
      <c r="C175" s="69"/>
      <c r="D175" s="68"/>
      <c r="E175" s="68"/>
      <c r="F175" s="68"/>
      <c r="G175" s="109"/>
      <c r="H175" s="109"/>
      <c r="I175" s="116"/>
      <c r="J175" s="68"/>
    </row>
    <row r="176" spans="1:10" s="45" customFormat="1" ht="30" customHeight="1" x14ac:dyDescent="0.35">
      <c r="A176" s="140" t="s">
        <v>188</v>
      </c>
      <c r="B176" s="141"/>
      <c r="C176" s="141"/>
      <c r="D176" s="141"/>
      <c r="E176" s="141"/>
      <c r="F176" s="142"/>
      <c r="G176" s="44"/>
      <c r="H176" s="44"/>
      <c r="I176" s="44"/>
    </row>
    <row r="177" spans="1:9" s="45" customFormat="1" ht="30" customHeight="1" x14ac:dyDescent="0.35">
      <c r="A177" s="140" t="s">
        <v>11</v>
      </c>
      <c r="B177" s="141"/>
      <c r="C177" s="141"/>
      <c r="D177" s="141"/>
      <c r="E177" s="141"/>
      <c r="F177" s="142"/>
      <c r="G177" s="43"/>
      <c r="H177" s="43"/>
      <c r="I177" s="44"/>
    </row>
    <row r="178" spans="1:9" s="45" customFormat="1" ht="35.15" customHeight="1" x14ac:dyDescent="0.35">
      <c r="A178" s="94" t="s">
        <v>12</v>
      </c>
      <c r="B178" s="149" t="s">
        <v>189</v>
      </c>
      <c r="C178" s="149"/>
      <c r="D178" s="149"/>
      <c r="E178" s="149"/>
      <c r="F178" s="150"/>
      <c r="G178" s="4"/>
      <c r="H178" s="46"/>
      <c r="I178" s="47"/>
    </row>
    <row r="179" spans="1:9" s="45" customFormat="1" ht="25" customHeight="1" x14ac:dyDescent="0.35">
      <c r="A179" s="98"/>
      <c r="B179" s="68"/>
      <c r="C179" s="69"/>
      <c r="D179" s="68"/>
      <c r="E179" s="186"/>
      <c r="F179" s="187"/>
      <c r="H179" s="20" t="e">
        <f>AVERAGEIF(G178:G178, "&gt;=0")</f>
        <v>#DIV/0!</v>
      </c>
      <c r="I179" s="47"/>
    </row>
    <row r="180" spans="1:9" s="45" customFormat="1" ht="25" customHeight="1" x14ac:dyDescent="0.35">
      <c r="A180" s="154" t="s">
        <v>17</v>
      </c>
      <c r="B180" s="154"/>
      <c r="C180" s="154"/>
      <c r="D180" s="154"/>
      <c r="E180" s="154"/>
      <c r="F180" s="154"/>
      <c r="G180" s="47"/>
      <c r="H180" s="46"/>
      <c r="I180" s="47"/>
    </row>
    <row r="181" spans="1:9" s="45" customFormat="1" ht="43" customHeight="1" x14ac:dyDescent="0.35">
      <c r="A181" s="94" t="s">
        <v>18</v>
      </c>
      <c r="B181" s="149" t="s">
        <v>190</v>
      </c>
      <c r="C181" s="149"/>
      <c r="D181" s="149"/>
      <c r="E181" s="149"/>
      <c r="F181" s="150"/>
      <c r="G181" s="4"/>
      <c r="H181" s="47"/>
      <c r="I181" s="47"/>
    </row>
    <row r="182" spans="1:9" s="45" customFormat="1" ht="43" customHeight="1" x14ac:dyDescent="0.35">
      <c r="A182" s="94" t="s">
        <v>19</v>
      </c>
      <c r="B182" s="145" t="s">
        <v>191</v>
      </c>
      <c r="C182" s="145"/>
      <c r="D182" s="145"/>
      <c r="E182" s="145"/>
      <c r="F182" s="146"/>
      <c r="G182" s="4"/>
      <c r="H182" s="47"/>
      <c r="I182" s="47"/>
    </row>
    <row r="183" spans="1:9" s="45" customFormat="1" ht="40" customHeight="1" x14ac:dyDescent="0.35">
      <c r="A183" s="94" t="s">
        <v>20</v>
      </c>
      <c r="B183" s="145" t="s">
        <v>192</v>
      </c>
      <c r="C183" s="145"/>
      <c r="D183" s="145"/>
      <c r="E183" s="145"/>
      <c r="F183" s="146"/>
      <c r="G183" s="4"/>
      <c r="H183" s="46"/>
      <c r="I183" s="47"/>
    </row>
    <row r="184" spans="1:9" ht="30" customHeight="1" x14ac:dyDescent="0.35">
      <c r="A184" s="85"/>
      <c r="B184" s="22"/>
      <c r="C184" s="40"/>
      <c r="D184" s="22"/>
      <c r="E184" s="22"/>
      <c r="F184" s="21"/>
      <c r="G184" s="22"/>
      <c r="H184" s="20" t="e">
        <f>AVERAGEIF(G181:G183, "&gt;=0")</f>
        <v>#DIV/0!</v>
      </c>
      <c r="I184" s="115"/>
    </row>
    <row r="185" spans="1:9" s="45" customFormat="1" ht="25" customHeight="1" x14ac:dyDescent="0.35">
      <c r="A185" s="151" t="s">
        <v>21</v>
      </c>
      <c r="B185" s="152"/>
      <c r="C185" s="152"/>
      <c r="D185" s="152"/>
      <c r="E185" s="152"/>
      <c r="F185" s="153"/>
      <c r="G185" s="104"/>
      <c r="H185" s="105"/>
      <c r="I185" s="109"/>
    </row>
    <row r="186" spans="1:9" s="45" customFormat="1" ht="40" customHeight="1" x14ac:dyDescent="0.35">
      <c r="A186" s="94" t="s">
        <v>22</v>
      </c>
      <c r="B186" s="145" t="s">
        <v>193</v>
      </c>
      <c r="C186" s="145"/>
      <c r="D186" s="145"/>
      <c r="E186" s="145"/>
      <c r="F186" s="146"/>
      <c r="G186" s="4"/>
      <c r="H186" s="46"/>
      <c r="I186" s="47"/>
    </row>
    <row r="187" spans="1:9" s="45" customFormat="1" ht="25" customHeight="1" x14ac:dyDescent="0.35">
      <c r="A187" s="95"/>
      <c r="B187" s="68"/>
      <c r="C187" s="69"/>
      <c r="D187" s="68"/>
      <c r="E187" s="68"/>
      <c r="F187" s="46"/>
      <c r="G187" s="50"/>
      <c r="H187" s="20" t="e">
        <f>AVERAGEIF(G186:G186, "&gt;=0")</f>
        <v>#DIV/0!</v>
      </c>
      <c r="I187" s="46"/>
    </row>
    <row r="188" spans="1:9" s="45" customFormat="1" ht="25" customHeight="1" x14ac:dyDescent="0.35">
      <c r="A188" s="96"/>
      <c r="B188" s="56"/>
      <c r="C188" s="57"/>
      <c r="D188" s="56"/>
      <c r="E188" s="56"/>
      <c r="F188" s="58"/>
      <c r="G188" s="51"/>
      <c r="H188" s="52"/>
      <c r="I188" s="20" t="e">
        <f>AVERAGEIF($H$179:$H$187, "&gt;=0")</f>
        <v>#DIV/0!</v>
      </c>
    </row>
    <row r="189" spans="1:9" s="45" customFormat="1" ht="25" customHeight="1" x14ac:dyDescent="0.35">
      <c r="A189" s="99"/>
      <c r="B189" s="68"/>
      <c r="C189" s="69"/>
      <c r="D189" s="68"/>
      <c r="E189" s="68"/>
      <c r="F189" s="46"/>
      <c r="G189" s="55" t="s">
        <v>217</v>
      </c>
      <c r="H189" s="55"/>
      <c r="I189" s="23"/>
    </row>
    <row r="190" spans="1:9" s="45" customFormat="1" ht="30" customHeight="1" x14ac:dyDescent="0.35">
      <c r="A190" s="140" t="s">
        <v>194</v>
      </c>
      <c r="B190" s="141"/>
      <c r="C190" s="141"/>
      <c r="D190" s="141"/>
      <c r="E190" s="141"/>
      <c r="F190" s="142"/>
      <c r="G190" s="43"/>
      <c r="H190" s="43"/>
      <c r="I190" s="59"/>
    </row>
    <row r="191" spans="1:9" s="45" customFormat="1" ht="30" customHeight="1" x14ac:dyDescent="0.35">
      <c r="A191" s="140" t="s">
        <v>11</v>
      </c>
      <c r="B191" s="141"/>
      <c r="C191" s="141"/>
      <c r="D191" s="141"/>
      <c r="E191" s="141"/>
      <c r="F191" s="142"/>
      <c r="G191" s="43"/>
      <c r="H191" s="43"/>
      <c r="I191" s="59"/>
    </row>
    <row r="192" spans="1:9" s="45" customFormat="1" ht="40" customHeight="1" x14ac:dyDescent="0.35">
      <c r="A192" s="94" t="s">
        <v>12</v>
      </c>
      <c r="B192" s="149" t="s">
        <v>195</v>
      </c>
      <c r="C192" s="149"/>
      <c r="D192" s="149"/>
      <c r="E192" s="149"/>
      <c r="F192" s="150"/>
      <c r="G192" s="4"/>
      <c r="H192" s="46"/>
      <c r="I192" s="60"/>
    </row>
    <row r="193" spans="1:9" s="45" customFormat="1" ht="25" customHeight="1" x14ac:dyDescent="0.35">
      <c r="A193" s="94"/>
      <c r="B193" s="68"/>
      <c r="C193" s="69"/>
      <c r="D193" s="68"/>
      <c r="E193" s="186"/>
      <c r="F193" s="187"/>
      <c r="H193" s="20" t="e">
        <f>AVERAGEIF(G192:G192, "&gt;=0")</f>
        <v>#DIV/0!</v>
      </c>
      <c r="I193" s="60"/>
    </row>
    <row r="194" spans="1:9" s="45" customFormat="1" ht="30" customHeight="1" x14ac:dyDescent="0.35">
      <c r="A194" s="154" t="s">
        <v>17</v>
      </c>
      <c r="B194" s="154"/>
      <c r="C194" s="154"/>
      <c r="D194" s="154"/>
      <c r="E194" s="154"/>
      <c r="F194" s="154"/>
      <c r="G194" s="47"/>
      <c r="H194" s="46"/>
      <c r="I194" s="60"/>
    </row>
    <row r="195" spans="1:9" s="45" customFormat="1" ht="40" customHeight="1" x14ac:dyDescent="0.35">
      <c r="A195" s="94" t="s">
        <v>18</v>
      </c>
      <c r="B195" s="149" t="s">
        <v>196</v>
      </c>
      <c r="C195" s="149"/>
      <c r="D195" s="149"/>
      <c r="E195" s="149"/>
      <c r="F195" s="150"/>
      <c r="G195" s="4"/>
      <c r="H195" s="46"/>
      <c r="I195" s="60"/>
    </row>
    <row r="196" spans="1:9" s="45" customFormat="1" ht="40" customHeight="1" x14ac:dyDescent="0.35">
      <c r="A196" s="94" t="s">
        <v>19</v>
      </c>
      <c r="B196" s="145" t="s">
        <v>197</v>
      </c>
      <c r="C196" s="145"/>
      <c r="D196" s="145"/>
      <c r="E196" s="145"/>
      <c r="F196" s="146"/>
      <c r="G196" s="4"/>
      <c r="H196" s="46"/>
      <c r="I196" s="60"/>
    </row>
    <row r="197" spans="1:9" ht="25" customHeight="1" x14ac:dyDescent="0.35">
      <c r="A197" s="85"/>
      <c r="B197" s="22"/>
      <c r="C197" s="40"/>
      <c r="D197" s="22"/>
      <c r="E197" s="22"/>
      <c r="F197" s="21"/>
      <c r="G197" s="22"/>
      <c r="H197" s="20" t="e">
        <f>AVERAGEIF(G195:G196, "&gt;=0")</f>
        <v>#DIV/0!</v>
      </c>
      <c r="I197" s="82"/>
    </row>
    <row r="198" spans="1:9" s="45" customFormat="1" ht="25" customHeight="1" x14ac:dyDescent="0.35">
      <c r="A198" s="151" t="s">
        <v>21</v>
      </c>
      <c r="B198" s="152"/>
      <c r="C198" s="152"/>
      <c r="D198" s="152"/>
      <c r="E198" s="152"/>
      <c r="F198" s="153"/>
      <c r="G198" s="104"/>
      <c r="H198" s="105"/>
      <c r="I198" s="106"/>
    </row>
    <row r="199" spans="1:9" s="45" customFormat="1" ht="40" customHeight="1" x14ac:dyDescent="0.35">
      <c r="A199" s="94" t="s">
        <v>22</v>
      </c>
      <c r="B199" s="145" t="s">
        <v>211</v>
      </c>
      <c r="C199" s="145"/>
      <c r="D199" s="145"/>
      <c r="E199" s="145"/>
      <c r="F199" s="146"/>
      <c r="G199" s="4"/>
      <c r="H199" s="46"/>
      <c r="I199" s="60"/>
    </row>
    <row r="200" spans="1:9" s="45" customFormat="1" ht="25" customHeight="1" x14ac:dyDescent="0.35">
      <c r="A200" s="95"/>
      <c r="B200" s="68"/>
      <c r="C200" s="69"/>
      <c r="D200" s="68"/>
      <c r="E200" s="68"/>
      <c r="F200" s="46"/>
      <c r="G200" s="50"/>
      <c r="H200" s="20" t="e">
        <f>AVERAGEIF(G199:G199, "&gt;=0")</f>
        <v>#DIV/0!</v>
      </c>
      <c r="I200" s="61"/>
    </row>
    <row r="201" spans="1:9" s="45" customFormat="1" ht="25" customHeight="1" x14ac:dyDescent="0.35">
      <c r="A201" s="96"/>
      <c r="B201" s="56"/>
      <c r="C201" s="57"/>
      <c r="D201" s="56"/>
      <c r="E201" s="56"/>
      <c r="F201" s="58"/>
      <c r="G201" s="51"/>
      <c r="H201" s="52"/>
      <c r="I201" s="20" t="e">
        <f>AVERAGEIF($H$193:$H$200, "&gt;=0")</f>
        <v>#DIV/0!</v>
      </c>
    </row>
    <row r="202" spans="1:9" s="45" customFormat="1" ht="25" customHeight="1" x14ac:dyDescent="0.35">
      <c r="A202" s="97"/>
      <c r="B202" s="68"/>
      <c r="C202" s="69"/>
      <c r="D202" s="68"/>
      <c r="E202" s="68"/>
      <c r="F202" s="68"/>
      <c r="G202" s="68"/>
      <c r="H202" s="68"/>
      <c r="I202" s="67"/>
    </row>
    <row r="203" spans="1:9" ht="25" customHeight="1" thickBot="1" x14ac:dyDescent="0.5">
      <c r="A203" s="100"/>
      <c r="B203" s="2"/>
      <c r="C203" s="26"/>
      <c r="D203" s="2"/>
      <c r="E203" s="125" t="s">
        <v>25</v>
      </c>
      <c r="F203" s="125"/>
      <c r="G203" s="125"/>
      <c r="H203" s="124" t="e">
        <f>AVERAGEIF(I52:I201, "&gt;=0")</f>
        <v>#DIV/0!</v>
      </c>
      <c r="I203" s="124"/>
    </row>
    <row r="204" spans="1:9" s="117" customFormat="1" ht="25" customHeight="1" thickTop="1" x14ac:dyDescent="0.35"/>
    <row r="205" spans="1:9" s="117" customFormat="1" ht="25" customHeight="1" x14ac:dyDescent="0.35"/>
    <row r="206" spans="1:9" s="117" customFormat="1" ht="25" customHeight="1" x14ac:dyDescent="0.35"/>
    <row r="207" spans="1:9" s="117" customFormat="1" ht="25" customHeight="1" x14ac:dyDescent="0.35"/>
    <row r="208" spans="1:9" s="117" customFormat="1" ht="25" customHeight="1" x14ac:dyDescent="0.35"/>
    <row r="209" spans="1:9" ht="20.149999999999999" customHeight="1" x14ac:dyDescent="0.35">
      <c r="A209" s="100"/>
      <c r="B209" s="2"/>
      <c r="C209" s="26"/>
      <c r="D209" s="2"/>
      <c r="E209" s="7"/>
      <c r="F209" s="63"/>
      <c r="G209" s="63"/>
      <c r="H209" s="63"/>
      <c r="I209" s="67"/>
    </row>
    <row r="210" spans="1:9" s="45" customFormat="1" ht="20.149999999999999" customHeight="1" x14ac:dyDescent="0.35">
      <c r="A210" s="147" t="s">
        <v>212</v>
      </c>
      <c r="B210" s="147"/>
      <c r="C210" s="147"/>
      <c r="D210" s="147"/>
      <c r="E210" s="64"/>
      <c r="F210" s="65"/>
      <c r="G210" s="65"/>
      <c r="H210" s="65"/>
      <c r="I210" s="66"/>
    </row>
    <row r="211" spans="1:9" s="45" customFormat="1" ht="20.149999999999999" customHeight="1" x14ac:dyDescent="0.35">
      <c r="A211" s="101"/>
      <c r="C211" s="48"/>
    </row>
    <row r="212" spans="1:9" s="45" customFormat="1" ht="30" customHeight="1" x14ac:dyDescent="0.35">
      <c r="A212" s="148" t="s">
        <v>213</v>
      </c>
      <c r="B212" s="148"/>
      <c r="C212" s="148"/>
      <c r="D212" s="148"/>
      <c r="E212" s="135" t="s">
        <v>214</v>
      </c>
      <c r="F212" s="135"/>
      <c r="G212" s="135" t="s">
        <v>215</v>
      </c>
      <c r="H212" s="135"/>
      <c r="I212" s="135"/>
    </row>
    <row r="213" spans="1:9" s="45" customFormat="1" ht="25" customHeight="1" x14ac:dyDescent="0.35">
      <c r="A213" s="102" t="s">
        <v>1</v>
      </c>
      <c r="B213" s="136" t="s">
        <v>52</v>
      </c>
      <c r="C213" s="137"/>
      <c r="D213" s="137"/>
      <c r="E213" s="128" t="e">
        <f>AVERAGEIF($H$37:$H$51, "&gt;=0")</f>
        <v>#DIV/0!</v>
      </c>
      <c r="F213" s="128"/>
      <c r="G213" s="129" t="e">
        <f t="shared" ref="G213:G216" si="0">IF(E213&gt;4.49,"Excellent",IF(E213&gt;3.49,"Very Satisfactory",IF(E213&gt;2.49,"Satisfactory",IF(E213&gt;1.49,"Fair","Poor"))))</f>
        <v>#DIV/0!</v>
      </c>
      <c r="H213" s="129"/>
      <c r="I213" s="129"/>
    </row>
    <row r="214" spans="1:9" s="45" customFormat="1" ht="25" customHeight="1" x14ac:dyDescent="0.35">
      <c r="A214" s="103" t="s">
        <v>2</v>
      </c>
      <c r="B214" s="138" t="s">
        <v>198</v>
      </c>
      <c r="C214" s="139"/>
      <c r="D214" s="139"/>
      <c r="E214" s="128" t="e">
        <f>AVERAGEIF($H$63:$H$69, "&gt;=0")</f>
        <v>#DIV/0!</v>
      </c>
      <c r="F214" s="128"/>
      <c r="G214" s="129" t="e">
        <f t="shared" si="0"/>
        <v>#DIV/0!</v>
      </c>
      <c r="H214" s="129"/>
      <c r="I214" s="129"/>
    </row>
    <row r="215" spans="1:9" s="45" customFormat="1" ht="25" customHeight="1" x14ac:dyDescent="0.35">
      <c r="A215" s="103" t="s">
        <v>34</v>
      </c>
      <c r="B215" s="126" t="s">
        <v>53</v>
      </c>
      <c r="C215" s="127"/>
      <c r="D215" s="127"/>
      <c r="E215" s="128" t="e">
        <f>AVERAGEIF($H$82:$H$96, "&gt;=0")</f>
        <v>#DIV/0!</v>
      </c>
      <c r="F215" s="128"/>
      <c r="G215" s="129" t="e">
        <f t="shared" si="0"/>
        <v>#DIV/0!</v>
      </c>
      <c r="H215" s="129"/>
      <c r="I215" s="129"/>
    </row>
    <row r="216" spans="1:9" s="45" customFormat="1" ht="25" customHeight="1" x14ac:dyDescent="0.35">
      <c r="A216" s="103" t="s">
        <v>35</v>
      </c>
      <c r="B216" s="126" t="s">
        <v>54</v>
      </c>
      <c r="C216" s="127"/>
      <c r="D216" s="127"/>
      <c r="E216" s="128" t="e">
        <f>AVERAGEIF($H$102:$H$125, "&gt;=0")</f>
        <v>#DIV/0!</v>
      </c>
      <c r="F216" s="128"/>
      <c r="G216" s="129" t="e">
        <f t="shared" si="0"/>
        <v>#DIV/0!</v>
      </c>
      <c r="H216" s="129"/>
      <c r="I216" s="129"/>
    </row>
    <row r="217" spans="1:9" s="45" customFormat="1" ht="25" customHeight="1" x14ac:dyDescent="0.35">
      <c r="A217" s="103" t="s">
        <v>36</v>
      </c>
      <c r="B217" s="126" t="s">
        <v>55</v>
      </c>
      <c r="C217" s="127"/>
      <c r="D217" s="127"/>
      <c r="E217" s="133" t="e">
        <f>AVERAGEIF($H$166:$H$173, "&gt;=0")</f>
        <v>#DIV/0!</v>
      </c>
      <c r="F217" s="134"/>
      <c r="G217" s="129" t="e">
        <f t="shared" ref="G217:G219" si="1">IF(E217&gt;4.49,"Excellent",IF(E217&gt;3.49,"Very Satisfactory",IF(E217&gt;2.49,"Satisfactory",IF(E217&gt;1.49,"Fair","Poor"))))</f>
        <v>#DIV/0!</v>
      </c>
      <c r="H217" s="129"/>
      <c r="I217" s="129"/>
    </row>
    <row r="218" spans="1:9" s="45" customFormat="1" ht="25" customHeight="1" x14ac:dyDescent="0.35">
      <c r="A218" s="103" t="s">
        <v>58</v>
      </c>
      <c r="B218" s="126" t="s">
        <v>57</v>
      </c>
      <c r="C218" s="127"/>
      <c r="D218" s="127"/>
      <c r="E218" s="133" t="e">
        <f>AVERAGEIF($H$179:$H$187, "&gt;=0")</f>
        <v>#DIV/0!</v>
      </c>
      <c r="F218" s="134"/>
      <c r="G218" s="129" t="e">
        <f t="shared" si="1"/>
        <v>#DIV/0!</v>
      </c>
      <c r="H218" s="129"/>
      <c r="I218" s="129"/>
    </row>
    <row r="219" spans="1:9" s="45" customFormat="1" ht="25" customHeight="1" x14ac:dyDescent="0.35">
      <c r="A219" s="103" t="s">
        <v>59</v>
      </c>
      <c r="B219" s="126" t="s">
        <v>56</v>
      </c>
      <c r="C219" s="127"/>
      <c r="D219" s="127"/>
      <c r="E219" s="133" t="e">
        <f>AVERAGEIF($H$193:$H$200, "&gt;=0")</f>
        <v>#DIV/0!</v>
      </c>
      <c r="F219" s="134"/>
      <c r="G219" s="129" t="e">
        <f t="shared" si="1"/>
        <v>#DIV/0!</v>
      </c>
      <c r="H219" s="129"/>
      <c r="I219" s="129"/>
    </row>
    <row r="220" spans="1:9" s="45" customFormat="1" ht="30" customHeight="1" thickBot="1" x14ac:dyDescent="0.5">
      <c r="A220" s="101"/>
      <c r="E220" s="130">
        <f>SUMIF(E213:E219,"&gt;=0")</f>
        <v>0</v>
      </c>
      <c r="F220" s="130"/>
      <c r="G220" s="70"/>
      <c r="H220" s="68"/>
      <c r="I220" s="68"/>
    </row>
    <row r="221" spans="1:9" s="45" customFormat="1" ht="30" customHeight="1" thickBot="1" x14ac:dyDescent="0.5">
      <c r="A221" s="101"/>
      <c r="C221" s="48"/>
      <c r="D221" s="71" t="s">
        <v>216</v>
      </c>
      <c r="E221" s="131" t="e">
        <f>AVERAGEIF(E213:E219,"&gt;=0")</f>
        <v>#DIV/0!</v>
      </c>
      <c r="F221" s="131"/>
      <c r="G221" s="132" t="e">
        <f>IF(E221&gt;4.49,"Excellent",IF(E221&gt;3.49,"Very Satisfactory",IF(E221&gt;2.49,"Satisfactory",IF(E221&gt;1.49,"Fair","Poor"))))</f>
        <v>#DIV/0!</v>
      </c>
      <c r="H221" s="132"/>
      <c r="I221" s="132"/>
    </row>
    <row r="223" spans="1:9" ht="20.149999999999999" customHeight="1" x14ac:dyDescent="0.35">
      <c r="D223" s="73" t="s">
        <v>218</v>
      </c>
    </row>
    <row r="224" spans="1:9" ht="30" customHeight="1" x14ac:dyDescent="0.35">
      <c r="D224" s="122"/>
    </row>
    <row r="225" spans="4:4" ht="30" customHeight="1" x14ac:dyDescent="0.35">
      <c r="D225" s="123"/>
    </row>
  </sheetData>
  <sheetProtection algorithmName="SHA-512" hashValue="Oni3PivvEzp2+VjIlTY5czbMwqsj0M9cGXhu2EkWmFhed9cWksU8mfi6oV0ufNTuMKjqrW65xIP+e19WJ5Aiig==" saltValue="VzGIHP1z1k5ZfD6iVwSHCQ==" spinCount="100000" sheet="1" objects="1" scenarios="1"/>
  <mergeCells count="193">
    <mergeCell ref="B137:F137"/>
    <mergeCell ref="B138:F138"/>
    <mergeCell ref="B140:F140"/>
    <mergeCell ref="B141:F141"/>
    <mergeCell ref="B160:F160"/>
    <mergeCell ref="A139:F139"/>
    <mergeCell ref="A159:F159"/>
    <mergeCell ref="A163:F163"/>
    <mergeCell ref="C142:E142"/>
    <mergeCell ref="C143:E143"/>
    <mergeCell ref="B162:F162"/>
    <mergeCell ref="B161:F161"/>
    <mergeCell ref="C155:E155"/>
    <mergeCell ref="C156:E156"/>
    <mergeCell ref="C157:E157"/>
    <mergeCell ref="C158:E158"/>
    <mergeCell ref="A190:F190"/>
    <mergeCell ref="A191:F191"/>
    <mergeCell ref="E193:F193"/>
    <mergeCell ref="B164:F164"/>
    <mergeCell ref="B165:F165"/>
    <mergeCell ref="E166:F166"/>
    <mergeCell ref="A167:F167"/>
    <mergeCell ref="B168:F168"/>
    <mergeCell ref="C147:E147"/>
    <mergeCell ref="C148:E148"/>
    <mergeCell ref="C149:E149"/>
    <mergeCell ref="C150:E150"/>
    <mergeCell ref="C151:E151"/>
    <mergeCell ref="C152:E152"/>
    <mergeCell ref="C153:E153"/>
    <mergeCell ref="B178:F178"/>
    <mergeCell ref="A176:F176"/>
    <mergeCell ref="A177:F177"/>
    <mergeCell ref="E179:F179"/>
    <mergeCell ref="A180:F180"/>
    <mergeCell ref="B181:F181"/>
    <mergeCell ref="B182:F182"/>
    <mergeCell ref="B183:F183"/>
    <mergeCell ref="C154:E154"/>
    <mergeCell ref="C76:E76"/>
    <mergeCell ref="C77:E77"/>
    <mergeCell ref="B95:F95"/>
    <mergeCell ref="C105:E105"/>
    <mergeCell ref="C106:E106"/>
    <mergeCell ref="C107:E107"/>
    <mergeCell ref="C108:E108"/>
    <mergeCell ref="C109:E109"/>
    <mergeCell ref="C110:E110"/>
    <mergeCell ref="A48:F48"/>
    <mergeCell ref="B94:F94"/>
    <mergeCell ref="A122:F122"/>
    <mergeCell ref="A103:F103"/>
    <mergeCell ref="E102:F102"/>
    <mergeCell ref="B81:F81"/>
    <mergeCell ref="B192:F192"/>
    <mergeCell ref="E63:F63"/>
    <mergeCell ref="A64:F64"/>
    <mergeCell ref="B68:F68"/>
    <mergeCell ref="B65:F65"/>
    <mergeCell ref="E82:F82"/>
    <mergeCell ref="B104:F104"/>
    <mergeCell ref="B124:F124"/>
    <mergeCell ref="B117:F117"/>
    <mergeCell ref="B118:F118"/>
    <mergeCell ref="B119:F119"/>
    <mergeCell ref="A185:F185"/>
    <mergeCell ref="B186:F186"/>
    <mergeCell ref="C144:E144"/>
    <mergeCell ref="C145:E145"/>
    <mergeCell ref="C146:E146"/>
    <mergeCell ref="C57:E57"/>
    <mergeCell ref="C58:E58"/>
    <mergeCell ref="A6:C6"/>
    <mergeCell ref="A29:I29"/>
    <mergeCell ref="B7:D7"/>
    <mergeCell ref="B8:D8"/>
    <mergeCell ref="A21:C21"/>
    <mergeCell ref="B49:F49"/>
    <mergeCell ref="B10:D10"/>
    <mergeCell ref="B11:D11"/>
    <mergeCell ref="B12:D12"/>
    <mergeCell ref="C17:H17"/>
    <mergeCell ref="C20:H20"/>
    <mergeCell ref="D21:H21"/>
    <mergeCell ref="A17:B17"/>
    <mergeCell ref="A19:B19"/>
    <mergeCell ref="B13:D13"/>
    <mergeCell ref="A20:B20"/>
    <mergeCell ref="C19:H19"/>
    <mergeCell ref="B33:F33"/>
    <mergeCell ref="A30:F30"/>
    <mergeCell ref="B43:F43"/>
    <mergeCell ref="B34:F34"/>
    <mergeCell ref="B9:D9"/>
    <mergeCell ref="A18:B18"/>
    <mergeCell ref="C18:H18"/>
    <mergeCell ref="B35:F35"/>
    <mergeCell ref="B36:F36"/>
    <mergeCell ref="A31:F31"/>
    <mergeCell ref="A32:F32"/>
    <mergeCell ref="A67:F67"/>
    <mergeCell ref="A99:F99"/>
    <mergeCell ref="A100:F100"/>
    <mergeCell ref="B87:F87"/>
    <mergeCell ref="B88:F88"/>
    <mergeCell ref="B89:F89"/>
    <mergeCell ref="B90:F90"/>
    <mergeCell ref="B91:F91"/>
    <mergeCell ref="A93:F93"/>
    <mergeCell ref="B39:F39"/>
    <mergeCell ref="B40:F40"/>
    <mergeCell ref="C41:E41"/>
    <mergeCell ref="C42:E42"/>
    <mergeCell ref="B44:F44"/>
    <mergeCell ref="B45:F45"/>
    <mergeCell ref="B46:F46"/>
    <mergeCell ref="B50:F50"/>
    <mergeCell ref="A73:F73"/>
    <mergeCell ref="B74:F74"/>
    <mergeCell ref="A38:F38"/>
    <mergeCell ref="B120:F120"/>
    <mergeCell ref="A54:F54"/>
    <mergeCell ref="A55:F55"/>
    <mergeCell ref="B56:F56"/>
    <mergeCell ref="B59:F59"/>
    <mergeCell ref="B62:F62"/>
    <mergeCell ref="C111:E111"/>
    <mergeCell ref="C112:E112"/>
    <mergeCell ref="C113:E113"/>
    <mergeCell ref="C114:E114"/>
    <mergeCell ref="C115:E115"/>
    <mergeCell ref="C116:E116"/>
    <mergeCell ref="B101:F101"/>
    <mergeCell ref="B78:F78"/>
    <mergeCell ref="B85:F85"/>
    <mergeCell ref="B75:F75"/>
    <mergeCell ref="B79:F79"/>
    <mergeCell ref="A83:F83"/>
    <mergeCell ref="B84:F84"/>
    <mergeCell ref="B86:F86"/>
    <mergeCell ref="A72:F72"/>
    <mergeCell ref="B80:F80"/>
    <mergeCell ref="C60:E60"/>
    <mergeCell ref="C61:E61"/>
    <mergeCell ref="B215:D215"/>
    <mergeCell ref="E215:F215"/>
    <mergeCell ref="G215:I215"/>
    <mergeCell ref="A128:F128"/>
    <mergeCell ref="B123:F123"/>
    <mergeCell ref="A129:F129"/>
    <mergeCell ref="A133:F133"/>
    <mergeCell ref="B134:F134"/>
    <mergeCell ref="B135:F135"/>
    <mergeCell ref="B136:F136"/>
    <mergeCell ref="A210:D210"/>
    <mergeCell ref="A212:D212"/>
    <mergeCell ref="E212:F212"/>
    <mergeCell ref="B195:F195"/>
    <mergeCell ref="B196:F196"/>
    <mergeCell ref="A198:F198"/>
    <mergeCell ref="B199:F199"/>
    <mergeCell ref="B172:F172"/>
    <mergeCell ref="A194:F194"/>
    <mergeCell ref="A170:F170"/>
    <mergeCell ref="B171:F171"/>
    <mergeCell ref="A130:F130"/>
    <mergeCell ref="B131:F131"/>
    <mergeCell ref="B132:F132"/>
    <mergeCell ref="H203:I203"/>
    <mergeCell ref="E203:G203"/>
    <mergeCell ref="B216:D216"/>
    <mergeCell ref="E216:F216"/>
    <mergeCell ref="G216:I216"/>
    <mergeCell ref="E220:F220"/>
    <mergeCell ref="E221:F221"/>
    <mergeCell ref="G221:I221"/>
    <mergeCell ref="B217:D217"/>
    <mergeCell ref="B218:D218"/>
    <mergeCell ref="B219:D219"/>
    <mergeCell ref="E217:F217"/>
    <mergeCell ref="G217:I217"/>
    <mergeCell ref="E218:F218"/>
    <mergeCell ref="G218:I218"/>
    <mergeCell ref="E219:F219"/>
    <mergeCell ref="G219:I219"/>
    <mergeCell ref="G212:I212"/>
    <mergeCell ref="B213:D213"/>
    <mergeCell ref="E213:F213"/>
    <mergeCell ref="G213:I213"/>
    <mergeCell ref="B214:D214"/>
    <mergeCell ref="E214:F214"/>
    <mergeCell ref="G214:I214"/>
  </mergeCells>
  <phoneticPr fontId="5" type="noConversion"/>
  <conditionalFormatting sqref="A34:A36">
    <cfRule type="duplicateValues" dxfId="7" priority="88"/>
  </conditionalFormatting>
  <conditionalFormatting sqref="A57">
    <cfRule type="duplicateValues" dxfId="6" priority="6"/>
  </conditionalFormatting>
  <conditionalFormatting sqref="A58">
    <cfRule type="duplicateValues" dxfId="5" priority="5"/>
  </conditionalFormatting>
  <conditionalFormatting sqref="A60">
    <cfRule type="duplicateValues" dxfId="4" priority="4"/>
  </conditionalFormatting>
  <conditionalFormatting sqref="A61">
    <cfRule type="duplicateValues" dxfId="3" priority="3"/>
  </conditionalFormatting>
  <conditionalFormatting sqref="A76">
    <cfRule type="duplicateValues" dxfId="2" priority="2"/>
  </conditionalFormatting>
  <conditionalFormatting sqref="A77">
    <cfRule type="duplicateValues" dxfId="1" priority="1"/>
  </conditionalFormatting>
  <conditionalFormatting sqref="A37 A33">
    <cfRule type="duplicateValues" dxfId="0" priority="90"/>
  </conditionalFormatting>
  <dataValidations disablePrompts="1" xWindow="642" yWindow="485" count="1">
    <dataValidation type="whole" allowBlank="1" showInputMessage="1" showErrorMessage="1" prompt="Varied entries are 0, 1, 2, 3, 4, or 5. If the Statement is Not Applicable, please leave it Blank" sqref="M60:M61 M76:M77 M33:M36 M57:M58" xr:uid="{00000000-0002-0000-0000-000000000000}">
      <formula1>0</formula1>
      <formula2>5</formula2>
    </dataValidation>
  </dataValidations>
  <pageMargins left="0.70866141732283472" right="0.5" top="0.74803149606299213" bottom="0.74803149606299213" header="0.31496062992125984" footer="0.31496062992125984"/>
  <pageSetup orientation="portrait" r:id="rId1"/>
  <headerFooter differentFirst="1">
    <oddFooter>&amp;L&amp;"-,Italic"AACCUP, Inc.&amp;R&amp;"-,Italic"Master Survey Instrument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xWindow="642" yWindow="485" count="1">
        <x14:dataValidation type="list" allowBlank="1" showInputMessage="1" showErrorMessage="1" error="Error! Please click ▼ to input rating" prompt="Please click ▼ to input rating" xr:uid="{00000000-0002-0000-0000-000001000000}">
          <x14:formula1>
            <xm:f>'Descriptive Rating'!$B$11:$B$17</xm:f>
          </x14:formula1>
          <xm:sqref>G33:G36 G39 F41:F42 G43:G46 G49:G50 F57:F58 F60:F61 G62 G65 G68 F76:F77 G74 G78:G81 G84:G91 G94:G95 G101 F105:F116 G117:G120 G123:G124 G131:G132 G134:G138 G140 F142:F158 G160:G162 G164:G165 G168 G171:G172 G178 G181:G183 G186 G192 G195:G196 G199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7"/>
  <sheetViews>
    <sheetView workbookViewId="0">
      <selection activeCell="H8" sqref="H8"/>
    </sheetView>
  </sheetViews>
  <sheetFormatPr defaultRowHeight="14.5" x14ac:dyDescent="0.35"/>
  <cols>
    <col min="1" max="1" width="6.7265625" customWidth="1"/>
    <col min="3" max="4" width="8.7265625" customWidth="1"/>
    <col min="5" max="5" width="20.7265625" customWidth="1"/>
  </cols>
  <sheetData>
    <row r="2" spans="2:5" ht="20.149999999999999" customHeight="1" x14ac:dyDescent="0.35">
      <c r="B2" s="10" t="s">
        <v>26</v>
      </c>
      <c r="C2" s="148" t="s">
        <v>27</v>
      </c>
      <c r="D2" s="148"/>
      <c r="E2" s="11" t="s">
        <v>28</v>
      </c>
    </row>
    <row r="3" spans="2:5" ht="20.149999999999999" customHeight="1" x14ac:dyDescent="0.35">
      <c r="B3" s="9"/>
      <c r="C3" s="9"/>
      <c r="D3" s="9"/>
      <c r="E3" s="9"/>
    </row>
    <row r="4" spans="2:5" ht="20.149999999999999" customHeight="1" x14ac:dyDescent="0.35">
      <c r="B4" s="12">
        <v>1</v>
      </c>
      <c r="C4" s="13">
        <v>1</v>
      </c>
      <c r="D4" s="13">
        <v>1.49</v>
      </c>
      <c r="E4" s="12" t="s">
        <v>29</v>
      </c>
    </row>
    <row r="5" spans="2:5" ht="20.149999999999999" customHeight="1" x14ac:dyDescent="0.35">
      <c r="B5" s="12">
        <v>2</v>
      </c>
      <c r="C5" s="13">
        <v>1.5</v>
      </c>
      <c r="D5" s="13">
        <v>2.4900000000000002</v>
      </c>
      <c r="E5" s="12" t="s">
        <v>30</v>
      </c>
    </row>
    <row r="6" spans="2:5" ht="20.149999999999999" customHeight="1" x14ac:dyDescent="0.35">
      <c r="B6" s="12">
        <v>3</v>
      </c>
      <c r="C6" s="13">
        <v>2.5</v>
      </c>
      <c r="D6" s="13">
        <v>3.49</v>
      </c>
      <c r="E6" s="12" t="s">
        <v>31</v>
      </c>
    </row>
    <row r="7" spans="2:5" ht="20.149999999999999" customHeight="1" x14ac:dyDescent="0.35">
      <c r="B7" s="12">
        <v>4</v>
      </c>
      <c r="C7" s="13">
        <v>3.5</v>
      </c>
      <c r="D7" s="13">
        <v>4.49</v>
      </c>
      <c r="E7" s="12" t="s">
        <v>32</v>
      </c>
    </row>
    <row r="8" spans="2:5" ht="20.149999999999999" customHeight="1" x14ac:dyDescent="0.35">
      <c r="B8" s="12">
        <v>5</v>
      </c>
      <c r="C8" s="13">
        <v>4.5</v>
      </c>
      <c r="D8" s="13">
        <v>5</v>
      </c>
      <c r="E8" s="12" t="s">
        <v>33</v>
      </c>
    </row>
    <row r="11" spans="2:5" x14ac:dyDescent="0.35">
      <c r="B11" t="s">
        <v>210</v>
      </c>
    </row>
    <row r="12" spans="2:5" x14ac:dyDescent="0.35">
      <c r="B12">
        <v>0</v>
      </c>
    </row>
    <row r="13" spans="2:5" x14ac:dyDescent="0.35">
      <c r="B13">
        <v>1</v>
      </c>
    </row>
    <row r="14" spans="2:5" x14ac:dyDescent="0.35">
      <c r="B14">
        <v>2</v>
      </c>
    </row>
    <row r="15" spans="2:5" x14ac:dyDescent="0.35">
      <c r="B15">
        <v>3</v>
      </c>
    </row>
    <row r="16" spans="2:5" x14ac:dyDescent="0.35">
      <c r="B16">
        <v>4</v>
      </c>
    </row>
    <row r="17" spans="2:2" x14ac:dyDescent="0.35">
      <c r="B17">
        <v>5</v>
      </c>
    </row>
  </sheetData>
  <sheetProtection algorithmName="SHA-512" hashValue="NWyfhng/ucFIOQDk1feW0u6oiaQlIf7hBolK1FHTvMw1PK7x9sp6pIx+ZZEbLzQb+CHPJIErWrEXWRydz128PQ==" saltValue="eLJfn6JcEWnVQEJfkU6bYg==" spinCount="100000" sheet="1" objects="1" scenarios="1"/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</vt:lpstr>
      <vt:lpstr>Descriptive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AACCUPStaff</dc:creator>
  <cp:lastModifiedBy>TechSupport</cp:lastModifiedBy>
  <cp:lastPrinted>2020-12-27T04:37:32Z</cp:lastPrinted>
  <dcterms:created xsi:type="dcterms:W3CDTF">2020-11-10T00:40:18Z</dcterms:created>
  <dcterms:modified xsi:type="dcterms:W3CDTF">2021-09-17T07:04:58Z</dcterms:modified>
</cp:coreProperties>
</file>